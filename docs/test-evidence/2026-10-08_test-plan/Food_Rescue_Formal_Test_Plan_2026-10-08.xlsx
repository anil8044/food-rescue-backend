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52887997a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4b47d50c67784cd0"/>
    <x:sheet xmlns:r="http://schemas.openxmlformats.org/officeDocument/2006/relationships" name="Defect Log" sheetId="2" r:id="Ra460c4c90b8d4c2e"/>
    <x:sheet xmlns:r="http://schemas.openxmlformats.org/officeDocument/2006/relationships" name="Summary" sheetId="3" r:id="R7f645e39164142a6"/>
    <x:sheet xmlns:r="http://schemas.openxmlformats.org/officeDocument/2006/relationships" name="Reference" sheetId="4" r:id="Rac73cf8553db43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i/>
      <x:sz val="11"/>
      <x:color rgb="FF1F1F1F"/>
      <x:name val="Carlito"/>
    </x:font>
    <x:font>
      <x:b/>
      <x:sz val="11"/>
      <x:color rgb="FF1F1F1F"/>
      <x:name val="Carlito"/>
    </x:font>
    <x:font>
      <x:i/>
      <x:sz val="11"/>
      <x:name val="Carlito"/>
    </x:font>
    <x:font>
      <x:b/>
      <x:sz val="15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F6000"/>
      </x:patternFill>
    </x:fill>
    <x:fill>
      <x:patternFill patternType="solid">
        <x:fgColor rgb="FFBF9000"/>
      </x:patternFill>
    </x:fill>
    <x:fill>
      <x:patternFill patternType="solid">
        <x:fgColor rgb="FF385723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28">
    <x:border/>
    <x:border/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/>
      <x:top/>
    </x:border>
    <x:border>
      <x:top/>
    </x:border>
    <x:border>
      <x:right style="thin">
        <x:color rgb="FFBFBFBF"/>
      </x:right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 style="thin">
        <x:color rgb="FFBFBFBF"/>
      </x:right>
      <x:bottom/>
    </x:border>
    <x:border>
      <x:right/>
      <x:bottom/>
    </x:border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3" fillId="8" borderId="2" xfId="0" applyNumberFormat="1" applyFont="1" applyFill="1" applyBorder="1" applyAlignment="1">
      <x:alignment horizontal="center"/>
    </x:xf>
    <x:xf numFmtId="0" fontId="3" fillId="8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4" fillId="9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4" fillId="9" borderId="8" xfId="0" applyNumberFormat="1" applyFont="1" applyFill="1" applyBorder="1"/>
    <x:xf numFmtId="0" fontId="0" fillId="0" borderId="9" xfId="0" applyNumberFormat="1" applyFont="1" applyFill="1" applyBorder="1"/>
    <x:xf numFmtId="0" fontId="1" fillId="10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3" borderId="6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3" fillId="13" borderId="5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  <x:xf numFmtId="0" fontId="3" fillId="13" borderId="6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/>
    <x:xf numFmtId="0" fontId="3" fillId="13" borderId="5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3" borderId="6" xfId="0" applyNumberFormat="1" applyFont="1" applyFill="1" applyBorder="1" applyAlignment="1">
      <x:alignment horizontal="center" vertical="top" wrapText="1"/>
    </x:xf>
    <x:xf numFmtId="0" fontId="3" fillId="13" borderId="0" xfId="0" applyNumberFormat="1" applyFont="1" applyFill="1" applyBorder="1" applyAlignment="1">
      <x:alignment horizontal="center"/>
    </x:xf>
    <x:xf numFmtId="0" fontId="3" fillId="13" borderId="5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3" borderId="6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/>
    </x:xf>
    <x:xf numFmtId="0" fontId="3" fillId="13" borderId="18" xfId="0" applyNumberFormat="1" applyFont="1" applyFill="1" applyBorder="1" applyAlignment="1">
      <x:alignment horizontal="center" vertical="center" wrapText="1"/>
    </x:xf>
    <x:xf numFmtId="0" fontId="3" fillId="13" borderId="19" xfId="0" applyNumberFormat="1" applyFont="1" applyFill="1" applyBorder="1" applyAlignment="1">
      <x:alignment horizontal="center" vertical="center" wrapText="1"/>
    </x:xf>
    <x:xf numFmtId="0" fontId="3" fillId="13" borderId="20" xfId="0" applyNumberFormat="1" applyFont="1" applyFill="1" applyBorder="1" applyAlignment="1">
      <x:alignment horizontal="center" vertical="center" wrapText="1"/>
    </x:xf>
    <x:xf numFmtId="0" fontId="3" fillId="13" borderId="2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/>
    </x:xf>
    <x:xf numFmtId="0" fontId="3" fillId="13" borderId="2" xfId="0" applyNumberFormat="1" applyFont="1" applyFill="1" applyBorder="1" applyAlignment="1">
      <x:alignment horizontal="center"/>
    </x:xf>
    <x:xf numFmtId="0" fontId="3" fillId="13" borderId="3" xfId="0" applyNumberFormat="1" applyFont="1" applyFill="1" applyBorder="1" applyAlignment="1">
      <x:alignment horizontal="center"/>
    </x:xf>
    <x:xf numFmtId="0" fontId="3" fillId="13" borderId="18" xfId="0" applyNumberFormat="1" applyFont="1" applyFill="1" applyBorder="1" applyAlignment="1">
      <x:alignment horizontal="center"/>
    </x:xf>
    <x:xf numFmtId="0" fontId="3" fillId="13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7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9C6500"/>
      </x:font>
      <x:fill>
        <x:patternFill>
          <x:bgColor rgb="FFFFEB9C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ea9911e489447a" /><Relationship Type="http://schemas.openxmlformats.org/officeDocument/2006/relationships/theme" Target="/xl/theme/theme1.xml" Id="Rea2faf4db740412e" /><Relationship Type="http://schemas.openxmlformats.org/officeDocument/2006/relationships/sharedStrings" Target="/xl/sharedStrings.xml" Id="R0ae5547c151e4035" /><Relationship Type="http://schemas.openxmlformats.org/officeDocument/2006/relationships/worksheet" Target="/xl/worksheets/sheet1.xml" Id="R4b47d50c67784cd0" /><Relationship Type="http://schemas.openxmlformats.org/officeDocument/2006/relationships/worksheet" Target="/xl/worksheets/sheet2.xml" Id="Ra460c4c90b8d4c2e" /><Relationship Type="http://schemas.openxmlformats.org/officeDocument/2006/relationships/worksheet" Target="/xl/worksheets/sheet3.xml" Id="R7f645e39164142a6" /><Relationship Type="http://schemas.openxmlformats.org/officeDocument/2006/relationships/worksheet" Target="/xl/worksheets/sheet4.xml" Id="Rac73cf8553db43ae" /></Relationships>
</file>

<file path=xl/tables/table1.xml><?xml version="1.0" encoding="utf-8"?>
<x:table xmlns:x="http://schemas.openxmlformats.org/spreadsheetml/2006/main" id="1" name="TestCasesTable" displayName="TestCasesTable" ref="A4:H19" headerRowCount="1" totalsRowCount="0" totalsRowShown="0">
  <x:tableColumns count="8">
    <x:tableColumn id="1" name="Test ID"/>
    <x:tableColumn id="2" name="Function"/>
    <x:tableColumn id="3" name="Test Steps"/>
    <x:tableColumn id="4" name="Expected Result"/>
    <x:tableColumn id="5" name="Actual Result"/>
    <x:tableColumn id="6" name="Result"/>
    <x:tableColumn id="7" name="Evidence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alTestPlan" displayName="FormalTestPlan" ref="A5:I55" headerRowCount="1" totalsRowCount="0" totalsRowShown="0">
  <x:tableColumns count="9">
    <x:tableColumn id="1" name="Test ID"/>
    <x:tableColumn id="2" name="Feature"/>
    <x:tableColumn id="3" name="Precondition"/>
    <x:tableColumn id="4" name="Test Steps"/>
    <x:tableColumn id="5" name="Expected Result"/>
    <x:tableColumn id="6" name="Actual Result"/>
    <x:tableColumn id="7" name="Pass/Fail"/>
    <x:tableColumn id="8" name="Evidence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00793ec7024e56" /><Relationship Type="http://schemas.openxmlformats.org/officeDocument/2006/relationships/table" Target="/xl/tables/table2.xml" Id="Rf51dea9cf5ed4256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46" hidden="0" customWidth="1"/>
    <x:col min="5" max="5" width="46" hidden="0" customWidth="1"/>
    <x:col min="6" max="6" width="34" hidden="0" customWidth="1"/>
    <x:col min="7" max="7" width="13" hidden="0" customWidth="1"/>
    <x:col min="8" max="8" width="30" hidden="0" customWidth="1"/>
    <x:col min="9" max="9" width="36" hidden="0" customWidth="1"/>
  </x:cols>
  <x:sheetData>
    <x:row r="1" ht="28" customHeight="1">
      <x:c r="A1" s="90" t="str">
        <x:v>Food Rescue Platform - Formal Backend Test Plan</x:v>
      </x:c>
      <x:c r="B1" s="90"/>
      <x:c r="C1" s="90"/>
      <x:c r="D1" s="90"/>
      <x:c r="E1" s="90"/>
      <x:c r="F1" s="90"/>
      <x:c r="G1" s="90"/>
      <x:c r="H1" s="90"/>
      <x:c r="I1" s="90"/>
    </x:row>
    <x:row r="2" ht="22" customHeight="1">
      <x:c r="A2" s="98" t="str">
        <x:v>Day 2 deliverable • 08-Oct-2026 • Haoxuan Liu • COMP 5800 Group 262</x:v>
      </x:c>
      <x:c r="B2" s="98"/>
      <x:c r="C2" s="98"/>
      <x:c r="D2" s="98"/>
      <x:c r="E2" s="98"/>
      <x:c r="F2" s="98"/>
      <x:c r="G2" s="98"/>
      <x:c r="H2" s="98"/>
      <x:c r="I2" s="99"/>
    </x:row>
    <x:row r="3" ht="36" customHeight="1">
      <x:c r="A3" s="102" t="str">
        <x:v>Run tests against the real backend. Record Actual Result immediately after execution. Use PASS / FAIL / BLOCKED / NOT RUN, and save evidence using the Test ID.</x:v>
      </x:c>
      <x:c r="B3" s="102"/>
      <x:c r="C3" s="102"/>
      <x:c r="D3" s="102"/>
      <x:c r="E3" s="102"/>
      <x:c r="F3" s="102"/>
      <x:c r="G3" s="102"/>
      <x:c r="H3" s="102"/>
      <x:c r="I3" s="102"/>
    </x:row>
    <x:row r="4" ht="24" customHeight="1">
      <x:c r="A4" s="32"/>
      <x:c r="B4" s="33"/>
      <x:c r="C4" s="33"/>
      <x:c r="D4" s="33"/>
      <x:c r="E4" s="33"/>
      <x:c r="F4" s="33"/>
      <x:c r="G4" s="33"/>
      <x:c r="H4" s="34"/>
    </x:row>
    <x:row r="5" ht="26" customHeight="1">
      <x:c r="A5" s="119" t="str">
        <x:v>Test ID</x:v>
      </x:c>
      <x:c r="B5" s="120" t="str">
        <x:v>Feature</x:v>
      </x:c>
      <x:c r="C5" s="120" t="str">
        <x:v>Precondition</x:v>
      </x:c>
      <x:c r="D5" s="120" t="str">
        <x:v>Test Steps</x:v>
      </x:c>
      <x:c r="E5" s="120" t="str">
        <x:v>Expected Result</x:v>
      </x:c>
      <x:c r="F5" s="120" t="str">
        <x:v>Actual Result</x:v>
      </x:c>
      <x:c r="G5" s="120" t="str">
        <x:v>Pass/Fail</x:v>
      </x:c>
      <x:c r="H5" s="121" t="str">
        <x:v>Evidence</x:v>
      </x:c>
      <x:c r="I5" s="122" t="str">
        <x:v>Notes</x:v>
      </x:c>
    </x:row>
    <x:row r="6" ht="48" customHeight="1">
      <x:c r="A6" s="123" t="str">
        <x:v>TC01</x:v>
      </x:c>
      <x:c r="B6" s="124" t="str">
        <x:v>Backend Health</x:v>
      </x:c>
      <x:c r="C6" s="124" t="str">
        <x:v>Backend is running on localhost:8080</x:v>
      </x:c>
      <x:c r="D6" s="124" t="str">
        <x:v>Open GET /actuator/health.</x:v>
      </x:c>
      <x:c r="E6" s="124" t="str">
        <x:v>HTTP 200 and status is UP.</x:v>
      </x:c>
      <x:c r="F6" s="124" t="str">
        <x:v>{"status":"UP"}</x:v>
      </x:c>
      <x:c r="G6" s="124" t="str">
        <x:v>PASS</x:v>
      </x:c>
      <x:c r="H6" s="36" t="str">
        <x:v>TC01_Backend_Health.png</x:v>
      </x:c>
      <x:c r="I6" s="125" t="str">
        <x:v>Verified on 07-Oct-2026.</x:v>
      </x:c>
    </x:row>
    <x:row r="7" ht="48" customHeight="1">
      <x:c r="A7" s="123" t="str">
        <x:v>TC02</x:v>
      </x:c>
      <x:c r="B7" s="124" t="str">
        <x:v>User - List All</x:v>
      </x:c>
      <x:c r="C7" s="124" t="str">
        <x:v>Backend running</x:v>
      </x:c>
      <x:c r="D7" s="124" t="str">
        <x:v>GET /api/users.</x:v>
      </x:c>
      <x:c r="E7" s="124" t="str">
        <x:v>HTTP 200 and a JSON list of users is returned.</x:v>
      </x:c>
      <x:c r="F7" s="124" t="str"/>
      <x:c r="G7" s="124" t="str">
        <x:v>NOT RUN</x:v>
      </x:c>
      <x:c r="H7" s="36" t="str">
        <x:v>TC02_User_List.png</x:v>
      </x:c>
      <x:c r="I7" s="125" t="str">
        <x:v>User-management section requires re-verification.</x:v>
      </x:c>
    </x:row>
    <x:row r="8" ht="48" customHeight="1">
      <x:c r="A8" s="123" t="str">
        <x:v>TC03</x:v>
      </x:c>
      <x:c r="B8" s="124" t="str">
        <x:v>User - Create Donor</x:v>
      </x:c>
      <x:c r="C8" s="124" t="str">
        <x:v>Backend running; unique email available</x:v>
      </x:c>
      <x:c r="D8" s="124" t="str">
        <x:v>POST /api/users with valid DONOR data.</x:v>
      </x:c>
      <x:c r="E8" s="124" t="str">
        <x:v>HTTP 201; donor is created and returned with an ID.</x:v>
      </x:c>
      <x:c r="F8" s="124" t="str"/>
      <x:c r="G8" s="124" t="str">
        <x:v>NOT RUN</x:v>
      </x:c>
      <x:c r="H8" s="36" t="str">
        <x:v>TC03_User_Registration.png</x:v>
      </x:c>
      <x:c r="I8" s="125" t="str">
        <x:v>Create-user endpoint documented; DONOR verificationStatus should be null.</x:v>
      </x:c>
    </x:row>
    <x:row r="9" ht="48" customHeight="1">
      <x:c r="A9" s="123" t="str">
        <x:v>TC04</x:v>
      </x:c>
      <x:c r="B9" s="124" t="str">
        <x:v>User - Missing Email</x:v>
      </x:c>
      <x:c r="C9" s="124" t="str">
        <x:v>Backend running</x:v>
      </x:c>
      <x:c r="D9" s="124" t="str">
        <x:v>POST /api/users with required email omitted.</x:v>
      </x:c>
      <x:c r="E9" s="124" t="str">
        <x:v>HTTP 400 with validation error; user is not created.</x:v>
      </x:c>
      <x:c r="F9" s="124" t="str"/>
      <x:c r="G9" s="124" t="str">
        <x:v>NOT RUN</x:v>
      </x:c>
      <x:c r="H9" s="36" t="str">
        <x:v>TC04_User_Missing_Email.png</x:v>
      </x:c>
      <x:c r="I9" s="125" t="str">
        <x:v>Negative validation case.</x:v>
      </x:c>
    </x:row>
    <x:row r="10" ht="48" customHeight="1">
      <x:c r="A10" s="123" t="str">
        <x:v>TC05</x:v>
      </x:c>
      <x:c r="B10" s="124" t="str">
        <x:v>Login - Valid Credentials</x:v>
      </x:c>
      <x:c r="C10" s="124" t="str">
        <x:v>A valid user exists</x:v>
      </x:c>
      <x:c r="D10" s="124" t="str">
        <x:v>POST /api/auth/login with valid email and password.</x:v>
      </x:c>
      <x:c r="E10" s="124" t="str">
        <x:v>Login succeeds and returns the expected user/auth response.</x:v>
      </x:c>
      <x:c r="F10" s="124" t="str"/>
      <x:c r="G10" s="124" t="str">
        <x:v>NOT RUN</x:v>
      </x:c>
      <x:c r="H10" s="36" t="str">
        <x:v>TC05_Login_Valid.png</x:v>
      </x:c>
      <x:c r="I10" s="125" t="str">
        <x:v>Login endpoint added by team plan; verify current response shape.</x:v>
      </x:c>
    </x:row>
    <x:row r="11" ht="48" customHeight="1">
      <x:c r="A11" s="123" t="str">
        <x:v>TC06</x:v>
      </x:c>
      <x:c r="B11" s="124" t="str">
        <x:v>Login - Wrong Password</x:v>
      </x:c>
      <x:c r="C11" s="124" t="str">
        <x:v>A valid user exists</x:v>
      </x:c>
      <x:c r="D11" s="124" t="str">
        <x:v>POST /api/auth/login with valid email and wrong password.</x:v>
      </x:c>
      <x:c r="E11" s="124" t="str">
        <x:v>Login is rejected with an appropriate error response.</x:v>
      </x:c>
      <x:c r="F11" s="124" t="str"/>
      <x:c r="G11" s="124" t="str">
        <x:v>NOT RUN</x:v>
      </x:c>
      <x:c r="H11" s="36" t="str">
        <x:v>TC06_Login_Wrong_Password.png</x:v>
      </x:c>
      <x:c r="I11" s="125" t="str">
        <x:v>Negative authentication case.</x:v>
      </x:c>
    </x:row>
    <x:row r="12" ht="48" customHeight="1">
      <x:c r="A12" s="123" t="str">
        <x:v>TC07</x:v>
      </x:c>
      <x:c r="B12" s="124" t="str">
        <x:v>User - Get by ID</x:v>
      </x:c>
      <x:c r="C12" s="124" t="str">
        <x:v>A user exists</x:v>
      </x:c>
      <x:c r="D12" s="124" t="str">
        <x:v>GET /api/users/{id} with an existing ID.</x:v>
      </x:c>
      <x:c r="E12" s="124" t="str">
        <x:v>HTTP 200 and the matching UserDTO is returned.</x:v>
      </x:c>
      <x:c r="F12" s="124" t="str"/>
      <x:c r="G12" s="124" t="str">
        <x:v>NOT RUN</x:v>
      </x:c>
      <x:c r="H12" s="36" t="str"/>
      <x:c r="I12" s="125" t="str">
        <x:v>Still to run.</x:v>
      </x:c>
    </x:row>
    <x:row r="13" ht="48" customHeight="1">
      <x:c r="A13" s="123" t="str">
        <x:v>TC08</x:v>
      </x:c>
      <x:c r="B13" s="124" t="str">
        <x:v>User - Get by Invalid ID</x:v>
      </x:c>
      <x:c r="C13" s="124" t="str">
        <x:v>Backend running</x:v>
      </x:c>
      <x:c r="D13" s="124" t="str">
        <x:v>GET /api/users/999999.</x:v>
      </x:c>
      <x:c r="E13" s="124" t="str">
        <x:v>HTTP 404 or documented not-found response.</x:v>
      </x:c>
      <x:c r="F13" s="124" t="str"/>
      <x:c r="G13" s="124" t="str">
        <x:v>NOT RUN</x:v>
      </x:c>
      <x:c r="H13" s="36" t="str"/>
      <x:c r="I13" s="125" t="str">
        <x:v>Still to run.</x:v>
      </x:c>
    </x:row>
    <x:row r="14" ht="48" customHeight="1">
      <x:c r="A14" s="123" t="str">
        <x:v>TC09</x:v>
      </x:c>
      <x:c r="B14" s="124" t="str">
        <x:v>User - Get by Email</x:v>
      </x:c>
      <x:c r="C14" s="124" t="str">
        <x:v>A user exists</x:v>
      </x:c>
      <x:c r="D14" s="124" t="str">
        <x:v>GET /api/users/email/{email}.</x:v>
      </x:c>
      <x:c r="E14" s="124" t="str">
        <x:v>HTTP 200 and the matching user is returned.</x:v>
      </x:c>
      <x:c r="F14" s="124" t="str"/>
      <x:c r="G14" s="124" t="str">
        <x:v>NOT RUN</x:v>
      </x:c>
      <x:c r="H14" s="36" t="str"/>
      <x:c r="I14" s="125" t="str">
        <x:v>Still to run; user section needs re-verification.</x:v>
      </x:c>
    </x:row>
    <x:row r="15" ht="48" customHeight="1">
      <x:c r="A15" s="123" t="str">
        <x:v>TC10</x:v>
      </x:c>
      <x:c r="B15" s="124" t="str">
        <x:v>User - Create Recipient</x:v>
      </x:c>
      <x:c r="C15" s="124" t="str">
        <x:v>Backend running; unique email available</x:v>
      </x:c>
      <x:c r="D15" s="124" t="str">
        <x:v>POST /api/users with role RECIPIENT_ORG.</x:v>
      </x:c>
      <x:c r="E15" s="124" t="str">
        <x:v>HTTP 201; recipient is created and verificationStatus defaults to PENDING.</x:v>
      </x:c>
      <x:c r="F15" s="124" t="str"/>
      <x:c r="G15" s="124" t="str">
        <x:v>NOT RUN</x:v>
      </x:c>
      <x:c r="H15" s="36" t="str"/>
      <x:c r="I15" s="125" t="str">
        <x:v>Important setup case.</x:v>
      </x:c>
    </x:row>
    <x:row r="16" ht="48" customHeight="1">
      <x:c r="A16" s="123" t="str">
        <x:v>TC11</x:v>
      </x:c>
      <x:c r="B16" s="124" t="str">
        <x:v>User - Approve Recipient</x:v>
      </x:c>
      <x:c r="C16" s="124" t="str">
        <x:v>A PENDING recipient exists</x:v>
      </x:c>
      <x:c r="D16" s="124" t="str">
        <x:v>PUT /api/users/{id} with verificationStatus=APPROVED.</x:v>
      </x:c>
      <x:c r="E16" s="124" t="str">
        <x:v>HTTP 200 and verificationStatus becomes APPROVED.</x:v>
      </x:c>
      <x:c r="F16" s="124" t="str"/>
      <x:c r="G16" s="124" t="str">
        <x:v>NOT RUN</x:v>
      </x:c>
      <x:c r="H16" s="36" t="str"/>
      <x:c r="I16" s="125" t="str">
        <x:v>Use APPROVED, not VERIFIED.</x:v>
      </x:c>
    </x:row>
    <x:row r="17" ht="48" customHeight="1">
      <x:c r="A17" s="123" t="str">
        <x:v>TC12</x:v>
      </x:c>
      <x:c r="B17" s="124" t="str">
        <x:v>User - Pending Verifications</x:v>
      </x:c>
      <x:c r="C17" s="124" t="str">
        <x:v>At least one PENDING recipient exists</x:v>
      </x:c>
      <x:c r="D17" s="124" t="str">
        <x:v>GET /api/users/pending-verifications.</x:v>
      </x:c>
      <x:c r="E17" s="124" t="str">
        <x:v>HTTP 200 and pending recipient appears in the list.</x:v>
      </x:c>
      <x:c r="F17" s="124" t="str"/>
      <x:c r="G17" s="124" t="str">
        <x:v>NOT RUN</x:v>
      </x:c>
      <x:c r="H17" s="36" t="str"/>
      <x:c r="I17" s="125" t="str">
        <x:v>Still to run.</x:v>
      </x:c>
    </x:row>
    <x:row r="18" ht="48" customHeight="1">
      <x:c r="A18" s="123" t="str">
        <x:v>TC13</x:v>
      </x:c>
      <x:c r="B18" s="124" t="str">
        <x:v>User - Create Admin</x:v>
      </x:c>
      <x:c r="C18" s="124" t="str">
        <x:v>Backend running; unique email available</x:v>
      </x:c>
      <x:c r="D18" s="124" t="str">
        <x:v>POST /api/users with role ADMIN.</x:v>
      </x:c>
      <x:c r="E18" s="124" t="str">
        <x:v>HTTP 201; admin is created with an ID.</x:v>
      </x:c>
      <x:c r="F18" s="124" t="str"/>
      <x:c r="G18" s="124" t="str">
        <x:v>NOT RUN</x:v>
      </x:c>
      <x:c r="H18" s="36" t="str"/>
      <x:c r="I18" s="125" t="str">
        <x:v>Needed by seed script.</x:v>
      </x:c>
    </x:row>
    <x:row r="19" ht="48" customHeight="1">
      <x:c r="A19" s="123" t="str">
        <x:v>TC14</x:v>
      </x:c>
      <x:c r="B19" s="124" t="str">
        <x:v>User - Duplicate Email</x:v>
      </x:c>
      <x:c r="C19" s="124" t="str">
        <x:v>A user already exists with the target email</x:v>
      </x:c>
      <x:c r="D19" s="124" t="str">
        <x:v>POST /api/users again with the same email.</x:v>
      </x:c>
      <x:c r="E19" s="124" t="str">
        <x:v>Duplicate account is rejected; no second user is created.</x:v>
      </x:c>
      <x:c r="F19" s="124" t="str"/>
      <x:c r="G19" s="124" t="str">
        <x:v>NOT RUN</x:v>
      </x:c>
      <x:c r="H19" s="36" t="str"/>
      <x:c r="I19" s="125" t="str">
        <x:v>Confirm exact status/error body.</x:v>
      </x:c>
    </x:row>
    <x:row r="20" ht="48" customHeight="1">
      <x:c r="A20" s="123" t="str">
        <x:v>TC15</x:v>
      </x:c>
      <x:c r="B20" s="124" t="str">
        <x:v>User - Delete</x:v>
      </x:c>
      <x:c r="C20" s="124" t="str">
        <x:v>A disposable user exists</x:v>
      </x:c>
      <x:c r="D20" s="124" t="str">
        <x:v>DELETE /api/users/{id}.</x:v>
      </x:c>
      <x:c r="E20" s="124" t="str">
        <x:v>HTTP 204; subsequent GET by ID returns not found.</x:v>
      </x:c>
      <x:c r="F20" s="124" t="str"/>
      <x:c r="G20" s="124" t="str">
        <x:v>NOT RUN</x:v>
      </x:c>
      <x:c r="H20" s="36" t="str"/>
      <x:c r="I20" s="125" t="str">
        <x:v>Still to run.</x:v>
      </x:c>
    </x:row>
    <x:row r="21" ht="48" customHeight="1">
      <x:c r="A21" s="123" t="str">
        <x:v>TC16</x:v>
      </x:c>
      <x:c r="B21" s="124" t="str">
        <x:v>Login - Unknown Email</x:v>
      </x:c>
      <x:c r="C21" s="124" t="str">
        <x:v>Backend running</x:v>
      </x:c>
      <x:c r="D21" s="124" t="str">
        <x:v>POST /api/auth/login with an email that does not exist.</x:v>
      </x:c>
      <x:c r="E21" s="124" t="str">
        <x:v>Login is rejected; no authenticated user response is returned.</x:v>
      </x:c>
      <x:c r="F21" s="124" t="str"/>
      <x:c r="G21" s="124" t="str">
        <x:v>NOT RUN</x:v>
      </x:c>
      <x:c r="H21" s="36" t="str"/>
      <x:c r="I21" s="125" t="str">
        <x:v>Still to run.</x:v>
      </x:c>
    </x:row>
    <x:row r="22" ht="48" customHeight="1">
      <x:c r="A22" s="123" t="str">
        <x:v>TC17</x:v>
      </x:c>
      <x:c r="B22" s="124" t="str">
        <x:v>Login - Missing Email</x:v>
      </x:c>
      <x:c r="C22" s="124" t="str">
        <x:v>Backend running</x:v>
      </x:c>
      <x:c r="D22" s="124" t="str">
        <x:v>POST /api/auth/login without email.</x:v>
      </x:c>
      <x:c r="E22" s="124" t="str">
        <x:v>Request is rejected with a validation/error response.</x:v>
      </x:c>
      <x:c r="F22" s="124" t="str"/>
      <x:c r="G22" s="124" t="str">
        <x:v>NOT RUN</x:v>
      </x:c>
      <x:c r="H22" s="36" t="str"/>
      <x:c r="I22" s="125" t="str">
        <x:v>Still to run.</x:v>
      </x:c>
    </x:row>
    <x:row r="23" ht="48" customHeight="1">
      <x:c r="A23" s="123" t="str">
        <x:v>TC18</x:v>
      </x:c>
      <x:c r="B23" s="124" t="str">
        <x:v>Login - Missing Password</x:v>
      </x:c>
      <x:c r="C23" s="124" t="str">
        <x:v>Backend running</x:v>
      </x:c>
      <x:c r="D23" s="124" t="str">
        <x:v>POST /api/auth/login without password.</x:v>
      </x:c>
      <x:c r="E23" s="124" t="str">
        <x:v>Request is rejected with a validation/error response.</x:v>
      </x:c>
      <x:c r="F23" s="124" t="str"/>
      <x:c r="G23" s="124" t="str">
        <x:v>NOT RUN</x:v>
      </x:c>
      <x:c r="H23" s="36" t="str"/>
      <x:c r="I23" s="125" t="str">
        <x:v>Still to run.</x:v>
      </x:c>
    </x:row>
    <x:row r="24" ht="48" customHeight="1">
      <x:c r="A24" s="123" t="str">
        <x:v>TC19</x:v>
      </x:c>
      <x:c r="B24" s="124" t="str">
        <x:v>Donation - List All</x:v>
      </x:c>
      <x:c r="C24" s="124" t="str">
        <x:v>Backend running</x:v>
      </x:c>
      <x:c r="D24" s="124" t="str">
        <x:v>GET /api/donations.</x:v>
      </x:c>
      <x:c r="E24" s="124" t="str">
        <x:v>HTTP 200 and a JSON list is returned.</x:v>
      </x:c>
      <x:c r="F24" s="124" t="str"/>
      <x:c r="G24" s="124" t="str">
        <x:v>NOT RUN</x:v>
      </x:c>
      <x:c r="H24" s="36" t="str"/>
      <x:c r="I24" s="125" t="str">
        <x:v>Donation section verified in API documentation.</x:v>
      </x:c>
    </x:row>
    <x:row r="25" ht="48" customHeight="1">
      <x:c r="A25" s="123" t="str">
        <x:v>TC20</x:v>
      </x:c>
      <x:c r="B25" s="124" t="str">
        <x:v>Donation - Create Valid</x:v>
      </x:c>
      <x:c r="C25" s="124" t="str">
        <x:v>A donor exists</x:v>
      </x:c>
      <x:c r="D25" s="124" t="str">
        <x:v>POST /api/donations?donorId={donorId} with all valid fields.</x:v>
      </x:c>
      <x:c r="E25" s="124" t="str">
        <x:v>HTTP 201; donation is created with ID and AVAILABLE status.</x:v>
      </x:c>
      <x:c r="F25" s="124" t="str"/>
      <x:c r="G25" s="124" t="str">
        <x:v>NOT RUN</x:v>
      </x:c>
      <x:c r="H25" s="36" t="str"/>
      <x:c r="I25" s="125" t="str">
        <x:v>Use a valid category such as BAKERY.</x:v>
      </x:c>
    </x:row>
    <x:row r="26" ht="48" customHeight="1">
      <x:c r="A26" s="123" t="str">
        <x:v>TC21</x:v>
      </x:c>
      <x:c r="B26" s="124" t="str">
        <x:v>Donation - Get by ID</x:v>
      </x:c>
      <x:c r="C26" s="124" t="str">
        <x:v>A donation exists</x:v>
      </x:c>
      <x:c r="D26" s="124" t="str">
        <x:v>GET /api/donations/{id}.</x:v>
      </x:c>
      <x:c r="E26" s="124" t="str">
        <x:v>HTTP 200 and the matching DonationDTO is returned.</x:v>
      </x:c>
      <x:c r="F26" s="124" t="str"/>
      <x:c r="G26" s="124" t="str">
        <x:v>NOT RUN</x:v>
      </x:c>
      <x:c r="H26" s="36" t="str"/>
      <x:c r="I26" s="125" t="str">
        <x:v>Verified endpoint.</x:v>
      </x:c>
    </x:row>
    <x:row r="27" ht="48" customHeight="1">
      <x:c r="A27" s="123" t="str">
        <x:v>TC22</x:v>
      </x:c>
      <x:c r="B27" s="124" t="str">
        <x:v>Donation - Available List</x:v>
      </x:c>
      <x:c r="C27" s="124" t="str">
        <x:v>At least one AVAILABLE donation exists</x:v>
      </x:c>
      <x:c r="D27" s="124" t="str">
        <x:v>GET /api/donations/available.</x:v>
      </x:c>
      <x:c r="E27" s="124" t="str">
        <x:v>HTTP 200; available donation appears in the list.</x:v>
      </x:c>
      <x:c r="F27" s="124" t="str"/>
      <x:c r="G27" s="124" t="str">
        <x:v>NOT RUN</x:v>
      </x:c>
      <x:c r="H27" s="36" t="str"/>
      <x:c r="I27" s="125" t="str">
        <x:v>Verified and tested endpoint.</x:v>
      </x:c>
    </x:row>
    <x:row r="28" ht="48" customHeight="1">
      <x:c r="A28" s="123" t="str">
        <x:v>TC23</x:v>
      </x:c>
      <x:c r="B28" s="124" t="str">
        <x:v>Donation - Donor History</x:v>
      </x:c>
      <x:c r="C28" s="124" t="str">
        <x:v>A donor has at least one donation</x:v>
      </x:c>
      <x:c r="D28" s="124" t="str">
        <x:v>GET /api/donations/donor/{donorId}.</x:v>
      </x:c>
      <x:c r="E28" s="124" t="str">
        <x:v>HTTP 200 and only that donor's donations are returned.</x:v>
      </x:c>
      <x:c r="F28" s="124" t="str"/>
      <x:c r="G28" s="124" t="str">
        <x:v>NOT RUN</x:v>
      </x:c>
      <x:c r="H28" s="36" t="str"/>
      <x:c r="I28" s="125" t="str">
        <x:v>Still to run.</x:v>
      </x:c>
    </x:row>
    <x:row r="29" ht="48" customHeight="1">
      <x:c r="A29" s="123" t="str">
        <x:v>TC24</x:v>
      </x:c>
      <x:c r="B29" s="124" t="str">
        <x:v>Donation - Missing Title</x:v>
      </x:c>
      <x:c r="C29" s="124" t="str">
        <x:v>A donor exists</x:v>
      </x:c>
      <x:c r="D29" s="124" t="str">
        <x:v>POST a donation without title.</x:v>
      </x:c>
      <x:c r="E29" s="124" t="str">
        <x:v>HTTP 400 with validation JSON; donation is not created.</x:v>
      </x:c>
      <x:c r="F29" s="124" t="str"/>
      <x:c r="G29" s="124" t="str">
        <x:v>NOT RUN</x:v>
      </x:c>
      <x:c r="H29" s="36" t="str"/>
      <x:c r="I29" s="125" t="str">
        <x:v>Expected GlobalExceptionHandler validation response.</x:v>
      </x:c>
    </x:row>
    <x:row r="30" ht="48" customHeight="1">
      <x:c r="A30" s="123" t="str">
        <x:v>TC25</x:v>
      </x:c>
      <x:c r="B30" s="124" t="str">
        <x:v>Donation - Invalid Category</x:v>
      </x:c>
      <x:c r="C30" s="124" t="str">
        <x:v>A donor exists</x:v>
      </x:c>
      <x:c r="D30" s="124" t="str">
        <x:v>POST a donation with category=VEGETABLES.</x:v>
      </x:c>
      <x:c r="E30" s="124" t="str">
        <x:v>HTTP 400; invalid enum category is rejected.</x:v>
      </x:c>
      <x:c r="F30" s="124" t="str"/>
      <x:c r="G30" s="124" t="str">
        <x:v>NOT RUN</x:v>
      </x:c>
      <x:c r="H30" s="36" t="str"/>
      <x:c r="I30" s="125" t="str">
        <x:v>Known invalid value; valid example is FRESH_PRODUCE.</x:v>
      </x:c>
    </x:row>
    <x:row r="31" ht="48" customHeight="1">
      <x:c r="A31" s="123" t="str">
        <x:v>TC26</x:v>
      </x:c>
      <x:c r="B31" s="124" t="str">
        <x:v>Donation - Invalid Donor ID</x:v>
      </x:c>
      <x:c r="C31" s="124" t="str">
        <x:v>Backend running</x:v>
      </x:c>
      <x:c r="D31" s="124" t="str">
        <x:v>POST /api/donations?donorId=999999 with otherwise valid body.</x:v>
      </x:c>
      <x:c r="E31" s="124" t="str">
        <x:v>HTTP 400 business-rule failure; donation is not created.</x:v>
      </x:c>
      <x:c r="F31" s="124" t="str"/>
      <x:c r="G31" s="124" t="str">
        <x:v>NOT RUN</x:v>
      </x:c>
      <x:c r="H31" s="36" t="str"/>
      <x:c r="I31" s="125" t="str">
        <x:v>Known gap: business-rule 400 may have empty body.</x:v>
      </x:c>
    </x:row>
    <x:row r="32" ht="48" customHeight="1">
      <x:c r="A32" s="123" t="str">
        <x:v>TC27</x:v>
      </x:c>
      <x:c r="B32" s="124" t="str">
        <x:v>Donation - Status Filter</x:v>
      </x:c>
      <x:c r="C32" s="124" t="str">
        <x:v>Donations with known statuses exist</x:v>
      </x:c>
      <x:c r="D32" s="124" t="str">
        <x:v>GET /api/donations/status/AVAILABLE.</x:v>
      </x:c>
      <x:c r="E32" s="124" t="str">
        <x:v>HTTP 200 and only AVAILABLE donations are returned.</x:v>
      </x:c>
      <x:c r="F32" s="124" t="str"/>
      <x:c r="G32" s="124" t="str">
        <x:v>NOT RUN</x:v>
      </x:c>
      <x:c r="H32" s="36" t="str"/>
      <x:c r="I32" s="125" t="str">
        <x:v>Valid statuses: AVAILABLE, RESERVED, COLLECTED, EXPIRED, CANCELLED.</x:v>
      </x:c>
    </x:row>
    <x:row r="33" ht="48" customHeight="1">
      <x:c r="A33" s="123" t="str">
        <x:v>TC28</x:v>
      </x:c>
      <x:c r="B33" s="124" t="str">
        <x:v>Donation - Update Status</x:v>
      </x:c>
      <x:c r="C33" s="124" t="str">
        <x:v>A donation exists</x:v>
      </x:c>
      <x:c r="D33" s="124" t="str">
        <x:v>PATCH /api/donations/{id}/status?status=CANCELLED.</x:v>
      </x:c>
      <x:c r="E33" s="124" t="str">
        <x:v>HTTP 200 and donation status becomes CANCELLED.</x:v>
      </x:c>
      <x:c r="F33" s="124" t="str"/>
      <x:c r="G33" s="124" t="str">
        <x:v>NOT RUN</x:v>
      </x:c>
      <x:c r="H33" s="36" t="str"/>
      <x:c r="I33" s="125" t="str">
        <x:v>Still to run.</x:v>
      </x:c>
    </x:row>
    <x:row r="34" ht="48" customHeight="1">
      <x:c r="A34" s="123" t="str">
        <x:v>TC29</x:v>
      </x:c>
      <x:c r="B34" s="124" t="str">
        <x:v>Donation - Invalid Status</x:v>
      </x:c>
      <x:c r="C34" s="124" t="str">
        <x:v>A donation exists</x:v>
      </x:c>
      <x:c r="D34" s="124" t="str">
        <x:v>PATCH donation status using an invalid status value.</x:v>
      </x:c>
      <x:c r="E34" s="124" t="str">
        <x:v>Request is rejected; stored status remains unchanged.</x:v>
      </x:c>
      <x:c r="F34" s="124" t="str"/>
      <x:c r="G34" s="124" t="str">
        <x:v>NOT RUN</x:v>
      </x:c>
      <x:c r="H34" s="36" t="str"/>
      <x:c r="I34" s="125" t="str">
        <x:v>Confirm exact status code.</x:v>
      </x:c>
    </x:row>
    <x:row r="35" ht="48" customHeight="1">
      <x:c r="A35" s="123" t="str">
        <x:v>TC30</x:v>
      </x:c>
      <x:c r="B35" s="124" t="str">
        <x:v>Donation - Delete</x:v>
      </x:c>
      <x:c r="C35" s="124" t="str">
        <x:v>A disposable donation exists</x:v>
      </x:c>
      <x:c r="D35" s="124" t="str">
        <x:v>DELETE /api/donations/{id}.</x:v>
      </x:c>
      <x:c r="E35" s="124" t="str">
        <x:v>HTTP 204; donation can no longer be retrieved.</x:v>
      </x:c>
      <x:c r="F35" s="124" t="str"/>
      <x:c r="G35" s="124" t="str">
        <x:v>NOT RUN</x:v>
      </x:c>
      <x:c r="H35" s="36" t="str"/>
      <x:c r="I35" s="125" t="str">
        <x:v>Still to run.</x:v>
      </x:c>
    </x:row>
    <x:row r="36" ht="48" customHeight="1">
      <x:c r="A36" s="123" t="str">
        <x:v>TC31</x:v>
      </x:c>
      <x:c r="B36" s="124" t="str">
        <x:v>Reservation - List All</x:v>
      </x:c>
      <x:c r="C36" s="124" t="str">
        <x:v>Backend running</x:v>
      </x:c>
      <x:c r="D36" s="124" t="str">
        <x:v>GET /api/reservations.</x:v>
      </x:c>
      <x:c r="E36" s="124" t="str">
        <x:v>HTTP 200 and reservation list is returned.</x:v>
      </x:c>
      <x:c r="F36" s="124" t="str"/>
      <x:c r="G36" s="124" t="str">
        <x:v>NOT RUN</x:v>
      </x:c>
      <x:c r="H36" s="36" t="str"/>
      <x:c r="I36" s="125" t="str">
        <x:v>Reservation section verified.</x:v>
      </x:c>
    </x:row>
    <x:row r="37" ht="48" customHeight="1">
      <x:c r="A37" s="123" t="str">
        <x:v>TC32</x:v>
      </x:c>
      <x:c r="B37" s="124" t="str">
        <x:v>Reservation - Create Valid</x:v>
      </x:c>
      <x:c r="C37" s="124" t="str">
        <x:v>APPROVED recipient and AVAILABLE donation exist</x:v>
      </x:c>
      <x:c r="D37" s="124" t="str">
        <x:v>POST /api/reservations?recipientOrgId={id} with donationId and pickup time.</x:v>
      </x:c>
      <x:c r="E37" s="124" t="str">
        <x:v>HTTP 201; reservation created and donation becomes RESERVED.</x:v>
      </x:c>
      <x:c r="F37" s="124" t="str"/>
      <x:c r="G37" s="124" t="str">
        <x:v>NOT RUN</x:v>
      </x:c>
      <x:c r="H37" s="36" t="str"/>
      <x:c r="I37" s="125" t="str">
        <x:v>Core business flow.</x:v>
      </x:c>
    </x:row>
    <x:row r="38" ht="48" customHeight="1">
      <x:c r="A38" s="123" t="str">
        <x:v>TC33</x:v>
      </x:c>
      <x:c r="B38" s="124" t="str">
        <x:v>Reservation - Get by ID</x:v>
      </x:c>
      <x:c r="C38" s="124" t="str">
        <x:v>A reservation exists</x:v>
      </x:c>
      <x:c r="D38" s="124" t="str">
        <x:v>GET /api/reservations/{id}.</x:v>
      </x:c>
      <x:c r="E38" s="124" t="str">
        <x:v>HTTP 200 and matching ReservationDTO is returned.</x:v>
      </x:c>
      <x:c r="F38" s="124" t="str"/>
      <x:c r="G38" s="124" t="str">
        <x:v>NOT RUN</x:v>
      </x:c>
      <x:c r="H38" s="36" t="str"/>
      <x:c r="I38" s="125" t="str">
        <x:v>Verified endpoint.</x:v>
      </x:c>
    </x:row>
    <x:row r="39" ht="48" customHeight="1">
      <x:c r="A39" s="123" t="str">
        <x:v>TC34</x:v>
      </x:c>
      <x:c r="B39" s="124" t="str">
        <x:v>Reservation - Recipient List</x:v>
      </x:c>
      <x:c r="C39" s="124" t="str">
        <x:v>Recipient has a reservation</x:v>
      </x:c>
      <x:c r="D39" s="124" t="str">
        <x:v>GET /api/reservations/recipient/{recipientOrgId}.</x:v>
      </x:c>
      <x:c r="E39" s="124" t="str">
        <x:v>HTTP 200 and that recipient's reservations are returned.</x:v>
      </x:c>
      <x:c r="F39" s="124" t="str"/>
      <x:c r="G39" s="124" t="str">
        <x:v>NOT RUN</x:v>
      </x:c>
      <x:c r="H39" s="36" t="str"/>
      <x:c r="I39" s="125" t="str">
        <x:v>Still to run.</x:v>
      </x:c>
    </x:row>
    <x:row r="40" ht="48" customHeight="1">
      <x:c r="A40" s="123" t="str">
        <x:v>TC35</x:v>
      </x:c>
      <x:c r="B40" s="124" t="str">
        <x:v>Reservation - Unapproved Recipient</x:v>
      </x:c>
      <x:c r="C40" s="124" t="str">
        <x:v>A PENDING recipient and AVAILABLE donation exist</x:v>
      </x:c>
      <x:c r="D40" s="124" t="str">
        <x:v>Try to create reservation as the PENDING recipient.</x:v>
      </x:c>
      <x:c r="E40" s="124" t="str">
        <x:v>HTTP 400; reservation is rejected and donation remains AVAILABLE.</x:v>
      </x:c>
      <x:c r="F40" s="124" t="str"/>
      <x:c r="G40" s="124" t="str">
        <x:v>NOT RUN</x:v>
      </x:c>
      <x:c r="H40" s="36" t="str"/>
      <x:c r="I40" s="125" t="str">
        <x:v>Business rule verified in service.</x:v>
      </x:c>
    </x:row>
    <x:row r="41" ht="48" customHeight="1">
      <x:c r="A41" s="123" t="str">
        <x:v>TC36</x:v>
      </x:c>
      <x:c r="B41" s="124" t="str">
        <x:v>Reservation - Wrong Role</x:v>
      </x:c>
      <x:c r="C41" s="124" t="str">
        <x:v>A DONOR user and AVAILABLE donation exist</x:v>
      </x:c>
      <x:c r="D41" s="124" t="str">
        <x:v>Try to reserve using donor user ID as recipientOrgId.</x:v>
      </x:c>
      <x:c r="E41" s="124" t="str">
        <x:v>HTTP 400; reservation is rejected.</x:v>
      </x:c>
      <x:c r="F41" s="124" t="str"/>
      <x:c r="G41" s="124" t="str">
        <x:v>NOT RUN</x:v>
      </x:c>
      <x:c r="H41" s="36" t="str"/>
      <x:c r="I41" s="125" t="str">
        <x:v>Business rule: role must be RECIPIENT_ORG.</x:v>
      </x:c>
    </x:row>
    <x:row r="42" ht="48" customHeight="1">
      <x:c r="A42" s="123" t="str">
        <x:v>TC37</x:v>
      </x:c>
      <x:c r="B42" s="124" t="str">
        <x:v>Reservation - Duplicate</x:v>
      </x:c>
      <x:c r="C42" s="124" t="str">
        <x:v>An active reservation already exists for the donation</x:v>
      </x:c>
      <x:c r="D42" s="124" t="str">
        <x:v>Attempt a second reservation for the same donation.</x:v>
      </x:c>
      <x:c r="E42" s="124" t="str">
        <x:v>HTTP 400; duplicate reservation is rejected.</x:v>
      </x:c>
      <x:c r="F42" s="124" t="str"/>
      <x:c r="G42" s="124" t="str">
        <x:v>NOT RUN</x:v>
      </x:c>
      <x:c r="H42" s="36" t="str"/>
      <x:c r="I42" s="125" t="str">
        <x:v>Business rule verified in service.</x:v>
      </x:c>
    </x:row>
    <x:row r="43" ht="48" customHeight="1">
      <x:c r="A43" s="123" t="str">
        <x:v>TC38</x:v>
      </x:c>
      <x:c r="B43" s="124" t="str">
        <x:v>Reservation - Invalid Donation</x:v>
      </x:c>
      <x:c r="C43" s="124" t="str">
        <x:v>An APPROVED recipient exists</x:v>
      </x:c>
      <x:c r="D43" s="124" t="str">
        <x:v>Create reservation with donationId=999999.</x:v>
      </x:c>
      <x:c r="E43" s="124" t="str">
        <x:v>Request is rejected; no reservation is created.</x:v>
      </x:c>
      <x:c r="F43" s="124" t="str"/>
      <x:c r="G43" s="124" t="str">
        <x:v>NOT RUN</x:v>
      </x:c>
      <x:c r="H43" s="36" t="str"/>
      <x:c r="I43" s="125" t="str">
        <x:v>Confirm exact status/body.</x:v>
      </x:c>
    </x:row>
    <x:row r="44" ht="48" customHeight="1">
      <x:c r="A44" s="123" t="str">
        <x:v>TC39</x:v>
      </x:c>
      <x:c r="B44" s="124" t="str">
        <x:v>Reservation - Status Filter</x:v>
      </x:c>
      <x:c r="C44" s="124" t="str">
        <x:v>Reservations with known statuses exist</x:v>
      </x:c>
      <x:c r="D44" s="124" t="str">
        <x:v>GET /api/reservations/status/PENDING.</x:v>
      </x:c>
      <x:c r="E44" s="124" t="str">
        <x:v>HTTP 200 and only PENDING reservations are returned.</x:v>
      </x:c>
      <x:c r="F44" s="124" t="str"/>
      <x:c r="G44" s="124" t="str">
        <x:v>NOT RUN</x:v>
      </x:c>
      <x:c r="H44" s="36" t="str"/>
      <x:c r="I44" s="125" t="str">
        <x:v>Valid: PENDING, CONFIRMED, COLLECTED, CANCELLED.</x:v>
      </x:c>
    </x:row>
    <x:row r="45" ht="48" customHeight="1">
      <x:c r="A45" s="123" t="str">
        <x:v>TC40</x:v>
      </x:c>
      <x:c r="B45" s="124" t="str">
        <x:v>Reservation - Mark Collected</x:v>
      </x:c>
      <x:c r="C45" s="124" t="str">
        <x:v>A reservation exists</x:v>
      </x:c>
      <x:c r="D45" s="124" t="str">
        <x:v>PATCH /api/reservations/{id}/status to COLLECTED using current API contract.</x:v>
      </x:c>
      <x:c r="E45" s="124" t="str">
        <x:v>Reservation becomes COLLECTED; linked donation becomes COLLECTED and collectedAt is recorded.</x:v>
      </x:c>
      <x:c r="F45" s="124" t="str"/>
      <x:c r="G45" s="124" t="str">
        <x:v>NOT RUN</x:v>
      </x:c>
      <x:c r="H45" s="36" t="str"/>
      <x:c r="I45" s="125" t="str">
        <x:v>Verify exact request parameter/body in current controller.</x:v>
      </x:c>
    </x:row>
    <x:row r="46" ht="48" customHeight="1">
      <x:c r="A46" s="123" t="str">
        <x:v>TC41</x:v>
      </x:c>
      <x:c r="B46" s="124" t="str">
        <x:v>Reservation - Mark Cancelled</x:v>
      </x:c>
      <x:c r="C46" s="124" t="str">
        <x:v>A reservation exists for a RESERVED donation</x:v>
      </x:c>
      <x:c r="D46" s="124" t="str">
        <x:v>PATCH reservation status to CANCELLED.</x:v>
      </x:c>
      <x:c r="E46" s="124" t="str">
        <x:v>Reservation becomes CANCELLED and linked donation returns to AVAILABLE.</x:v>
      </x:c>
      <x:c r="F46" s="124" t="str"/>
      <x:c r="G46" s="124" t="str">
        <x:v>NOT RUN</x:v>
      </x:c>
      <x:c r="H46" s="36" t="str"/>
      <x:c r="I46" s="125" t="str">
        <x:v>Business rule verified in source.</x:v>
      </x:c>
    </x:row>
    <x:row r="47" ht="48" customHeight="1">
      <x:c r="A47" s="123" t="str">
        <x:v>TC42</x:v>
      </x:c>
      <x:c r="B47" s="124" t="str">
        <x:v>Reservation - Delete/Cancel</x:v>
      </x:c>
      <x:c r="C47" s="124" t="str">
        <x:v>A reservation exists</x:v>
      </x:c>
      <x:c r="D47" s="124" t="str">
        <x:v>DELETE /api/reservations/{id}.</x:v>
      </x:c>
      <x:c r="E47" s="124" t="str">
        <x:v>HTTP 204; linked donation returns to AVAILABLE.</x:v>
      </x:c>
      <x:c r="F47" s="124" t="str"/>
      <x:c r="G47" s="124" t="str">
        <x:v>NOT RUN</x:v>
      </x:c>
      <x:c r="H47" s="36" t="str"/>
      <x:c r="I47" s="125" t="str">
        <x:v>Verified behavior.</x:v>
      </x:c>
    </x:row>
    <x:row r="48" ht="48" customHeight="1">
      <x:c r="A48" s="123" t="str">
        <x:v>TC43</x:v>
      </x:c>
      <x:c r="B48" s="124" t="str">
        <x:v>Notification - User List</x:v>
      </x:c>
      <x:c r="C48" s="124" t="str">
        <x:v>A user exists</x:v>
      </x:c>
      <x:c r="D48" s="124" t="str">
        <x:v>GET /api/notifications/user/{userId}.</x:v>
      </x:c>
      <x:c r="E48" s="124" t="str">
        <x:v>Notification list is returned for that user.</x:v>
      </x:c>
      <x:c r="F48" s="124" t="str"/>
      <x:c r="G48" s="124" t="str">
        <x:v>NOT RUN</x:v>
      </x:c>
      <x:c r="H48" s="36" t="str"/>
      <x:c r="I48" s="125" t="str">
        <x:v>Notification section not yet re-verified.</x:v>
      </x:c>
    </x:row>
    <x:row r="49" ht="48" customHeight="1">
      <x:c r="A49" s="123" t="str">
        <x:v>TC44</x:v>
      </x:c>
      <x:c r="B49" s="124" t="str">
        <x:v>Notification - Unread</x:v>
      </x:c>
      <x:c r="C49" s="124" t="str">
        <x:v>A user has an unread notification</x:v>
      </x:c>
      <x:c r="D49" s="124" t="str">
        <x:v>GET /api/notifications/user/{userId}/unread.</x:v>
      </x:c>
      <x:c r="E49" s="124" t="str">
        <x:v>Only unread notifications are returned.</x:v>
      </x:c>
      <x:c r="F49" s="124" t="str"/>
      <x:c r="G49" s="124" t="str">
        <x:v>NOT RUN</x:v>
      </x:c>
      <x:c r="H49" s="36" t="str"/>
      <x:c r="I49" s="125" t="str">
        <x:v>Still to run; verify endpoint first.</x:v>
      </x:c>
    </x:row>
    <x:row r="50" ht="48" customHeight="1">
      <x:c r="A50" s="123" t="str">
        <x:v>TC45</x:v>
      </x:c>
      <x:c r="B50" s="124" t="str">
        <x:v>Notification - Create</x:v>
      </x:c>
      <x:c r="C50" s="124" t="str">
        <x:v>A recipient user exists</x:v>
      </x:c>
      <x:c r="D50" s="124" t="str">
        <x:v>POST /api/notifications with recipientId, type and message.</x:v>
      </x:c>
      <x:c r="E50" s="124" t="str">
        <x:v>Notification is created successfully.</x:v>
      </x:c>
      <x:c r="F50" s="124" t="str"/>
      <x:c r="G50" s="124" t="str">
        <x:v>NOT RUN</x:v>
      </x:c>
      <x:c r="H50" s="36" t="str"/>
      <x:c r="I50" s="125" t="str">
        <x:v>Notification section unverified; confirm valid enum values.</x:v>
      </x:c>
    </x:row>
    <x:row r="51" ht="48" customHeight="1">
      <x:c r="A51" s="123" t="str">
        <x:v>TC46</x:v>
      </x:c>
      <x:c r="B51" s="124" t="str">
        <x:v>Notification - Mark Read</x:v>
      </x:c>
      <x:c r="C51" s="124" t="str">
        <x:v>A notification exists</x:v>
      </x:c>
      <x:c r="D51" s="124" t="str">
        <x:v>PATCH /api/notifications/{id}/read.</x:v>
      </x:c>
      <x:c r="E51" s="124" t="str">
        <x:v>Notification is marked as read.</x:v>
      </x:c>
      <x:c r="F51" s="124" t="str"/>
      <x:c r="G51" s="124" t="str">
        <x:v>NOT RUN</x:v>
      </x:c>
      <x:c r="H51" s="36" t="str"/>
      <x:c r="I51" s="125" t="str">
        <x:v>Still to run; verify endpoint first.</x:v>
      </x:c>
    </x:row>
    <x:row r="52" ht="48" customHeight="1">
      <x:c r="A52" s="123" t="str">
        <x:v>TC47</x:v>
      </x:c>
      <x:c r="B52" s="124" t="str">
        <x:v>Notification - Mark All Read</x:v>
      </x:c>
      <x:c r="C52" s="124" t="str">
        <x:v>A user has unread notifications</x:v>
      </x:c>
      <x:c r="D52" s="124" t="str">
        <x:v>PATCH /api/notifications/user/{userId}/read-all.</x:v>
      </x:c>
      <x:c r="E52" s="124" t="str">
        <x:v>All notifications for user are marked read.</x:v>
      </x:c>
      <x:c r="F52" s="124" t="str"/>
      <x:c r="G52" s="124" t="str">
        <x:v>NOT RUN</x:v>
      </x:c>
      <x:c r="H52" s="36" t="str"/>
      <x:c r="I52" s="125" t="str">
        <x:v>Still to run; verify endpoint first.</x:v>
      </x:c>
    </x:row>
    <x:row r="53" ht="48" customHeight="1">
      <x:c r="A53" s="123" t="str">
        <x:v>TC48</x:v>
      </x:c>
      <x:c r="B53" s="124" t="str">
        <x:v>Notification - Delete</x:v>
      </x:c>
      <x:c r="C53" s="124" t="str">
        <x:v>A disposable notification exists</x:v>
      </x:c>
      <x:c r="D53" s="124" t="str">
        <x:v>DELETE /api/notifications/{id}.</x:v>
      </x:c>
      <x:c r="E53" s="124" t="str">
        <x:v>Notification is deleted successfully.</x:v>
      </x:c>
      <x:c r="F53" s="124" t="str"/>
      <x:c r="G53" s="124" t="str">
        <x:v>NOT RUN</x:v>
      </x:c>
      <x:c r="H53" s="36" t="str"/>
      <x:c r="I53" s="125" t="str">
        <x:v>Still to run; verify endpoint first.</x:v>
      </x:c>
    </x:row>
    <x:row r="54" ht="48" customHeight="1">
      <x:c r="A54" s="123" t="str">
        <x:v>TC49</x:v>
      </x:c>
      <x:c r="B54" s="124" t="str">
        <x:v>Dashboard - Overall Stats</x:v>
      </x:c>
      <x:c r="C54" s="124" t="str">
        <x:v>Backend has some test data</x:v>
      </x:c>
      <x:c r="D54" s="124" t="str">
        <x:v>GET /api/dashboard/stats (or current analytics route after source check).</x:v>
      </x:c>
      <x:c r="E54" s="124" t="str">
        <x:v>Current dashboard/analytics endpoint returns valid statistics without server errors.</x:v>
      </x:c>
      <x:c r="F54" s="124" t="str"/>
      <x:c r="G54" s="124" t="str">
        <x:v>NOT RUN</x:v>
      </x:c>
      <x:c r="H54" s="36" t="str"/>
      <x:c r="I54" s="125" t="str">
        <x:v>API documentation flags this section as likely outdated; source check required.</x:v>
      </x:c>
    </x:row>
    <x:row r="55" ht="48" customHeight="1">
      <x:c r="A55" s="126" t="str">
        <x:v>TC50</x:v>
      </x:c>
      <x:c r="B55" s="127" t="str">
        <x:v>Dashboard - User Stats</x:v>
      </x:c>
      <x:c r="C55" s="127" t="str">
        <x:v>A user exists with activity</x:v>
      </x:c>
      <x:c r="D55" s="127" t="str">
        <x:v>GET /api/dashboard/user/{userId}/stats (or current route after source check).</x:v>
      </x:c>
      <x:c r="E55" s="127" t="str">
        <x:v>Current user-statistics endpoint returns valid data.</x:v>
      </x:c>
      <x:c r="F55" s="127" t="str"/>
      <x:c r="G55" s="127" t="str">
        <x:v>NOT RUN</x:v>
      </x:c>
      <x:c r="H55" s="128" t="str"/>
      <x:c r="I55" s="129" t="str">
        <x:v>API documentation flags this section as likely outdated; source check required.</x:v>
      </x:c>
    </x:row>
    <x:row r="56">
      <x:c r="A56" s="35"/>
      <x:c r="B56" s="30"/>
      <x:c r="C56" s="30"/>
      <x:c r="D56" s="30"/>
      <x:c r="E56" s="30"/>
      <x:c r="F56" s="30"/>
      <x:c r="G56" s="30"/>
      <x:c r="H56" s="36"/>
    </x:row>
    <x:row r="57">
      <x:c r="A57" s="35"/>
      <x:c r="B57" s="30"/>
      <x:c r="C57" s="30"/>
      <x:c r="D57" s="30"/>
      <x:c r="E57" s="30"/>
      <x:c r="F57" s="30"/>
      <x:c r="G57" s="30"/>
      <x:c r="H57" s="36"/>
    </x:row>
    <x:row r="58">
      <x:c r="A58" s="35"/>
      <x:c r="B58" s="30"/>
      <x:c r="C58" s="30"/>
      <x:c r="D58" s="30"/>
      <x:c r="E58" s="30"/>
      <x:c r="F58" s="30"/>
      <x:c r="G58" s="30"/>
      <x:c r="H58" s="36"/>
    </x:row>
    <x:row r="59">
      <x:c r="A59" s="35"/>
      <x:c r="B59" s="30"/>
      <x:c r="C59" s="30"/>
      <x:c r="D59" s="30"/>
      <x:c r="E59" s="30"/>
      <x:c r="F59" s="30"/>
      <x:c r="G59" s="30"/>
      <x:c r="H59" s="36"/>
    </x:row>
    <x:row r="60">
      <x:c r="A60" s="35"/>
      <x:c r="B60" s="30"/>
      <x:c r="C60" s="30"/>
      <x:c r="D60" s="30"/>
      <x:c r="E60" s="30"/>
      <x:c r="F60" s="30"/>
      <x:c r="G60" s="30"/>
      <x:c r="H60" s="36"/>
    </x:row>
    <x:row r="61">
      <x:c r="A61" s="35"/>
      <x:c r="B61" s="30"/>
      <x:c r="C61" s="30"/>
      <x:c r="D61" s="30"/>
      <x:c r="E61" s="30"/>
      <x:c r="F61" s="30"/>
      <x:c r="G61" s="30"/>
      <x:c r="H61" s="36"/>
    </x:row>
    <x:row r="62">
      <x:c r="A62" s="35"/>
      <x:c r="B62" s="30"/>
      <x:c r="C62" s="30"/>
      <x:c r="D62" s="30"/>
      <x:c r="E62" s="30"/>
      <x:c r="F62" s="30"/>
      <x:c r="G62" s="30"/>
      <x:c r="H62" s="36"/>
    </x:row>
    <x:row r="63">
      <x:c r="A63" s="35"/>
      <x:c r="B63" s="30"/>
      <x:c r="C63" s="30"/>
      <x:c r="D63" s="30"/>
      <x:c r="E63" s="30"/>
      <x:c r="F63" s="30"/>
      <x:c r="G63" s="30"/>
      <x:c r="H63" s="36"/>
    </x:row>
    <x:row r="64">
      <x:c r="A64" s="35"/>
      <x:c r="B64" s="30"/>
      <x:c r="C64" s="30"/>
      <x:c r="D64" s="30"/>
      <x:c r="E64" s="30"/>
      <x:c r="F64" s="30"/>
      <x:c r="G64" s="30"/>
      <x:c r="H64" s="36"/>
    </x:row>
    <x:row r="65">
      <x:c r="A65" s="35"/>
      <x:c r="B65" s="30"/>
      <x:c r="C65" s="30"/>
      <x:c r="D65" s="30"/>
      <x:c r="E65" s="30"/>
      <x:c r="F65" s="30"/>
      <x:c r="G65" s="30"/>
      <x:c r="H65" s="36"/>
    </x:row>
    <x:row r="66">
      <x:c r="A66" s="35"/>
      <x:c r="B66" s="30"/>
      <x:c r="C66" s="30"/>
      <x:c r="D66" s="30"/>
      <x:c r="E66" s="30"/>
      <x:c r="F66" s="30"/>
      <x:c r="G66" s="30"/>
      <x:c r="H66" s="36"/>
    </x:row>
    <x:row r="67">
      <x:c r="A67" s="35"/>
      <x:c r="B67" s="30"/>
      <x:c r="C67" s="30"/>
      <x:c r="D67" s="30"/>
      <x:c r="E67" s="30"/>
      <x:c r="F67" s="30"/>
      <x:c r="G67" s="30"/>
      <x:c r="H67" s="36"/>
    </x:row>
    <x:row r="68">
      <x:c r="A68" s="35"/>
      <x:c r="B68" s="30"/>
      <x:c r="C68" s="30"/>
      <x:c r="D68" s="30"/>
      <x:c r="E68" s="30"/>
      <x:c r="F68" s="30"/>
      <x:c r="G68" s="30"/>
      <x:c r="H68" s="36"/>
    </x:row>
    <x:row r="69">
      <x:c r="A69" s="35"/>
      <x:c r="B69" s="30"/>
      <x:c r="C69" s="30"/>
      <x:c r="D69" s="30"/>
      <x:c r="E69" s="30"/>
      <x:c r="F69" s="30"/>
      <x:c r="G69" s="30"/>
      <x:c r="H69" s="36"/>
    </x:row>
    <x:row r="70">
      <x:c r="A70" s="35"/>
      <x:c r="B70" s="30"/>
      <x:c r="C70" s="30"/>
      <x:c r="D70" s="30"/>
      <x:c r="E70" s="30"/>
      <x:c r="F70" s="30"/>
      <x:c r="G70" s="30"/>
      <x:c r="H70" s="36"/>
    </x:row>
    <x:row r="71">
      <x:c r="A71" s="35"/>
      <x:c r="B71" s="30"/>
      <x:c r="C71" s="30"/>
      <x:c r="D71" s="30"/>
      <x:c r="E71" s="30"/>
      <x:c r="F71" s="30"/>
      <x:c r="G71" s="30"/>
      <x:c r="H71" s="36"/>
    </x:row>
    <x:row r="72">
      <x:c r="A72" s="35"/>
      <x:c r="B72" s="30"/>
      <x:c r="C72" s="30"/>
      <x:c r="D72" s="30"/>
      <x:c r="E72" s="30"/>
      <x:c r="F72" s="30"/>
      <x:c r="G72" s="30"/>
      <x:c r="H72" s="36"/>
    </x:row>
    <x:row r="73">
      <x:c r="A73" s="35"/>
      <x:c r="B73" s="30"/>
      <x:c r="C73" s="30"/>
      <x:c r="D73" s="30"/>
      <x:c r="E73" s="30"/>
      <x:c r="F73" s="30"/>
      <x:c r="G73" s="30"/>
      <x:c r="H73" s="36"/>
    </x:row>
    <x:row r="74">
      <x:c r="A74" s="35"/>
      <x:c r="B74" s="30"/>
      <x:c r="C74" s="30"/>
      <x:c r="D74" s="30"/>
      <x:c r="E74" s="30"/>
      <x:c r="F74" s="30"/>
      <x:c r="G74" s="30"/>
      <x:c r="H74" s="36"/>
    </x:row>
    <x:row r="75">
      <x:c r="A75" s="35"/>
      <x:c r="B75" s="30"/>
      <x:c r="C75" s="30"/>
      <x:c r="D75" s="30"/>
      <x:c r="E75" s="30"/>
      <x:c r="F75" s="30"/>
      <x:c r="G75" s="30"/>
      <x:c r="H75" s="36"/>
    </x:row>
    <x:row r="76">
      <x:c r="A76" s="35"/>
      <x:c r="B76" s="30"/>
      <x:c r="C76" s="30"/>
      <x:c r="D76" s="30"/>
      <x:c r="E76" s="30"/>
      <x:c r="F76" s="30"/>
      <x:c r="G76" s="30"/>
      <x:c r="H76" s="36"/>
    </x:row>
    <x:row r="77">
      <x:c r="A77" s="35"/>
      <x:c r="B77" s="30"/>
      <x:c r="C77" s="30"/>
      <x:c r="D77" s="30"/>
      <x:c r="E77" s="30"/>
      <x:c r="F77" s="30"/>
      <x:c r="G77" s="30"/>
      <x:c r="H77" s="36"/>
    </x:row>
    <x:row r="78">
      <x:c r="A78" s="35"/>
      <x:c r="B78" s="30"/>
      <x:c r="C78" s="30"/>
      <x:c r="D78" s="30"/>
      <x:c r="E78" s="30"/>
      <x:c r="F78" s="30"/>
      <x:c r="G78" s="30"/>
      <x:c r="H78" s="36"/>
    </x:row>
    <x:row r="79">
      <x:c r="A79" s="35"/>
      <x:c r="B79" s="30"/>
      <x:c r="C79" s="30"/>
      <x:c r="D79" s="30"/>
      <x:c r="E79" s="30"/>
      <x:c r="F79" s="30"/>
      <x:c r="G79" s="30"/>
      <x:c r="H79" s="36"/>
    </x:row>
    <x:row r="80">
      <x:c r="A80" s="35"/>
      <x:c r="B80" s="30"/>
      <x:c r="C80" s="30"/>
      <x:c r="D80" s="30"/>
      <x:c r="E80" s="30"/>
      <x:c r="F80" s="30"/>
      <x:c r="G80" s="30"/>
      <x:c r="H80" s="36"/>
    </x:row>
    <x:row r="81">
      <x:c r="A81" s="35"/>
      <x:c r="B81" s="30"/>
      <x:c r="C81" s="30"/>
      <x:c r="D81" s="30"/>
      <x:c r="E81" s="30"/>
      <x:c r="F81" s="30"/>
      <x:c r="G81" s="30"/>
      <x:c r="H81" s="36"/>
    </x:row>
    <x:row r="82">
      <x:c r="A82" s="35"/>
      <x:c r="B82" s="30"/>
      <x:c r="C82" s="30"/>
      <x:c r="D82" s="30"/>
      <x:c r="E82" s="30"/>
      <x:c r="F82" s="30"/>
      <x:c r="G82" s="30"/>
      <x:c r="H82" s="36"/>
    </x:row>
    <x:row r="83">
      <x:c r="A83" s="35"/>
      <x:c r="B83" s="30"/>
      <x:c r="C83" s="30"/>
      <x:c r="D83" s="30"/>
      <x:c r="E83" s="30"/>
      <x:c r="F83" s="30"/>
      <x:c r="G83" s="30"/>
      <x:c r="H83" s="36"/>
    </x:row>
    <x:row r="84">
      <x:c r="A84" s="35"/>
      <x:c r="B84" s="30"/>
      <x:c r="C84" s="30"/>
      <x:c r="D84" s="30"/>
      <x:c r="E84" s="30"/>
      <x:c r="F84" s="30"/>
      <x:c r="G84" s="30"/>
      <x:c r="H84" s="36"/>
    </x:row>
    <x:row r="85">
      <x:c r="A85" s="35"/>
      <x:c r="B85" s="30"/>
      <x:c r="C85" s="30"/>
      <x:c r="D85" s="30"/>
      <x:c r="E85" s="30"/>
      <x:c r="F85" s="30"/>
      <x:c r="G85" s="30"/>
      <x:c r="H85" s="36"/>
    </x:row>
    <x:row r="86">
      <x:c r="A86" s="35"/>
      <x:c r="B86" s="30"/>
      <x:c r="C86" s="30"/>
      <x:c r="D86" s="30"/>
      <x:c r="E86" s="30"/>
      <x:c r="F86" s="30"/>
      <x:c r="G86" s="30"/>
      <x:c r="H86" s="36"/>
    </x:row>
    <x:row r="87">
      <x:c r="A87" s="35"/>
      <x:c r="B87" s="30"/>
      <x:c r="C87" s="30"/>
      <x:c r="D87" s="30"/>
      <x:c r="E87" s="30"/>
      <x:c r="F87" s="30"/>
      <x:c r="G87" s="30"/>
      <x:c r="H87" s="36"/>
    </x:row>
    <x:row r="88">
      <x:c r="A88" s="35"/>
      <x:c r="B88" s="30"/>
      <x:c r="C88" s="30"/>
      <x:c r="D88" s="30"/>
      <x:c r="E88" s="30"/>
      <x:c r="F88" s="30"/>
      <x:c r="G88" s="30"/>
      <x:c r="H88" s="36"/>
    </x:row>
    <x:row r="89">
      <x:c r="A89" s="35"/>
      <x:c r="B89" s="30"/>
      <x:c r="C89" s="30"/>
      <x:c r="D89" s="30"/>
      <x:c r="E89" s="30"/>
      <x:c r="F89" s="30"/>
      <x:c r="G89" s="30"/>
      <x:c r="H89" s="36"/>
    </x:row>
    <x:row r="90">
      <x:c r="A90" s="35"/>
      <x:c r="B90" s="30"/>
      <x:c r="C90" s="30"/>
      <x:c r="D90" s="30"/>
      <x:c r="E90" s="30"/>
      <x:c r="F90" s="30"/>
      <x:c r="G90" s="30"/>
      <x:c r="H90" s="36"/>
    </x:row>
    <x:row r="91">
      <x:c r="A91" s="35"/>
      <x:c r="B91" s="30"/>
      <x:c r="C91" s="30"/>
      <x:c r="D91" s="30"/>
      <x:c r="E91" s="30"/>
      <x:c r="F91" s="30"/>
      <x:c r="G91" s="30"/>
      <x:c r="H91" s="36"/>
    </x:row>
    <x:row r="92">
      <x:c r="A92" s="35"/>
      <x:c r="B92" s="30"/>
      <x:c r="C92" s="30"/>
      <x:c r="D92" s="30"/>
      <x:c r="E92" s="30"/>
      <x:c r="F92" s="30"/>
      <x:c r="G92" s="30"/>
      <x:c r="H92" s="36"/>
    </x:row>
    <x:row r="93">
      <x:c r="A93" s="35"/>
      <x:c r="B93" s="30"/>
      <x:c r="C93" s="30"/>
      <x:c r="D93" s="30"/>
      <x:c r="E93" s="30"/>
      <x:c r="F93" s="30"/>
      <x:c r="G93" s="30"/>
      <x:c r="H93" s="36"/>
    </x:row>
    <x:row r="94">
      <x:c r="A94" s="35"/>
      <x:c r="B94" s="30"/>
      <x:c r="C94" s="30"/>
      <x:c r="D94" s="30"/>
      <x:c r="E94" s="30"/>
      <x:c r="F94" s="30"/>
      <x:c r="G94" s="30"/>
      <x:c r="H94" s="36"/>
    </x:row>
    <x:row r="95">
      <x:c r="A95" s="35"/>
      <x:c r="B95" s="30"/>
      <x:c r="C95" s="30"/>
      <x:c r="D95" s="30"/>
      <x:c r="E95" s="30"/>
      <x:c r="F95" s="30"/>
      <x:c r="G95" s="30"/>
      <x:c r="H95" s="36"/>
    </x:row>
    <x:row r="96">
      <x:c r="A96" s="35"/>
      <x:c r="B96" s="30"/>
      <x:c r="C96" s="30"/>
      <x:c r="D96" s="30"/>
      <x:c r="E96" s="30"/>
      <x:c r="F96" s="30"/>
      <x:c r="G96" s="30"/>
      <x:c r="H96" s="36"/>
    </x:row>
    <x:row r="97">
      <x:c r="A97" s="35"/>
      <x:c r="B97" s="30"/>
      <x:c r="C97" s="30"/>
      <x:c r="D97" s="30"/>
      <x:c r="E97" s="30"/>
      <x:c r="F97" s="30"/>
      <x:c r="G97" s="30"/>
      <x:c r="H97" s="36"/>
    </x:row>
    <x:row r="98">
      <x:c r="A98" s="35"/>
      <x:c r="B98" s="30"/>
      <x:c r="C98" s="30"/>
      <x:c r="D98" s="30"/>
      <x:c r="E98" s="30"/>
      <x:c r="F98" s="30"/>
      <x:c r="G98" s="30"/>
      <x:c r="H98" s="36"/>
    </x:row>
    <x:row r="99">
      <x:c r="A99" s="35"/>
      <x:c r="B99" s="30"/>
      <x:c r="C99" s="30"/>
      <x:c r="D99" s="30"/>
      <x:c r="E99" s="30"/>
      <x:c r="F99" s="30"/>
      <x:c r="G99" s="30"/>
      <x:c r="H99" s="36"/>
    </x:row>
    <x:row r="100">
      <x:c r="A100" s="37"/>
      <x:c r="B100" s="38"/>
      <x:c r="C100" s="38"/>
      <x:c r="D100" s="38"/>
      <x:c r="E100" s="38"/>
      <x:c r="F100" s="38"/>
      <x:c r="G100" s="38"/>
      <x:c r="H100" s="39"/>
    </x:row>
  </x:sheetData>
  <x:mergeCells>
    <x:mergeCell ref="A1:H1"/>
    <x:mergeCell ref="A2:H2"/>
    <x:mergeCell ref="A1:I1"/>
    <x:mergeCell ref="A2:I2"/>
    <x:mergeCell ref="A3:I3"/>
  </x:mergeCells>
  <x:conditionalFormatting sqref="F5:F100">
    <x:cfRule type="expression" dxfId="0" priority="1">
      <x:formula>F5="PASS"</x:formula>
    </x:cfRule>
    <x:cfRule type="expression" dxfId="1" priority="2">
      <x:formula>F5="FAIL"</x:formula>
    </x:cfRule>
    <x:cfRule type="expression" dxfId="2" priority="3">
      <x:formula>F5="BLOCKED"</x:formula>
    </x:cfRule>
    <x:cfRule type="expression" dxfId="3" priority="4">
      <x:formula>F5="NOT TESTED"</x:formula>
    </x:cfRule>
  </x:conditionalFormatting>
  <x:conditionalFormatting sqref="G6:G55">
    <x:cfRule type="expression" dxfId="6" priority="5">
      <x:formula>G6="PASS"</x:formula>
    </x:cfRule>
    <x:cfRule type="expression" dxfId="7" priority="6">
      <x:formula>G6="FAIL"</x:formula>
    </x:cfRule>
    <x:cfRule type="expression" dxfId="8" priority="7">
      <x:formula>G6="BLOCKED"</x:formula>
    </x:cfRule>
    <x:cfRule type="expression" dxfId="9" priority="8">
      <x:formula>G6="NOT RUN"</x:formula>
    </x:cfRule>
  </x:conditionalFormatting>
  <x:dataValidations count="2">
    <x:dataValidation type="list" sqref="F5:F100">
      <x:formula1>"PASS,FAIL,BLOCKED,NOT TESTED"</x:formula1>
    </x:dataValidation>
    <x:dataValidation type="list" sqref="G6:G55">
      <x:formula1>"NOT RUN,PASS,FAIL,BLOCKED"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fe00793ec7024e56"/>
    <x:tablePart xmlns:r="http://schemas.openxmlformats.org/officeDocument/2006/relationships" r:id="Rf51dea9cf5ed425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2" hidden="0" customWidth="1"/>
    <x:col min="4" max="4" width="38" hidden="0" customWidth="1"/>
    <x:col min="5" max="5" width="36" hidden="0" customWidth="1"/>
    <x:col min="6" max="6" width="14" hidden="0" customWidth="1"/>
    <x:col min="7" max="7" width="16" hidden="0" customWidth="1"/>
    <x:col min="8" max="8" width="28" hidden="0" customWidth="1"/>
    <x:col min="9" max="9" width="28" hidden="0" customWidth="1"/>
  </x:cols>
  <x:sheetData>
    <x:row r="1">
      <x:c r="A1" s="50" t="str">
        <x:v>Food Rescue Platform - Defect Log</x:v>
      </x:c>
      <x:c r="B1" s="50"/>
      <x:c r="C1" s="50"/>
      <x:c r="D1" s="50"/>
      <x:c r="E1" s="50"/>
      <x:c r="F1" s="50"/>
      <x:c r="G1" s="50"/>
      <x:c r="H1" s="50"/>
      <x:c r="I1" s="50"/>
    </x:row>
    <x:row r="3">
      <x:c r="A3" s="57" t="str">
        <x:v>Bug ID</x:v>
      </x:c>
      <x:c r="B3" s="57" t="str">
        <x:v>Related Test</x:v>
      </x:c>
      <x:c r="C3" s="57" t="str">
        <x:v>Feature</x:v>
      </x:c>
      <x:c r="D3" s="57" t="str">
        <x:v>Issue / Actual Behaviour</x:v>
      </x:c>
      <x:c r="E3" s="57" t="str">
        <x:v>Expected Behaviour</x:v>
      </x:c>
      <x:c r="F3" s="57" t="str">
        <x:v>Severity</x:v>
      </x:c>
      <x:c r="G3" s="57" t="str">
        <x:v>Status</x:v>
      </x:c>
      <x:c r="H3" s="57" t="str">
        <x:v>Evidence</x:v>
      </x:c>
      <x:c r="I3" s="57" t="str">
        <x:v>Notes</x:v>
      </x:c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</x:row>
  </x:sheetData>
  <x:mergeCells>
    <x:mergeCell ref="A1:I1"/>
  </x:mergeCells>
  <x:conditionalFormatting sqref="G4:G100">
    <x:cfRule type="expression" dxfId="4" priority="1">
      <x:formula>G4="OPEN"</x:formula>
    </x:cfRule>
    <x:cfRule type="expression" dxfId="5" priority="2">
      <x:formula>G4="CLOSED"</x:formula>
    </x:cfRule>
  </x:conditionalFormatting>
  <x:dataValidations count="2">
    <x:dataValidation type="list" sqref="F4:F100">
      <x:formula1>"LOW,MEDIUM,HIGH,CRITICAL"</x:formula1>
    </x:dataValidation>
    <x:dataValidation type="list" sqref="G4:G100">
      <x:formula1>"OPEN,IN PROGRESS,FIXED,RETEST,CLOSED"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24" hidden="0" customWidth="1"/>
    <x:col min="5" max="5" width="38" hidden="0" customWidth="1"/>
  </x:cols>
  <x:sheetData>
    <x:row r="1">
      <x:c r="A1" s="130" t="str">
        <x:v>Day 2 QA Test Plan Summary</x:v>
      </x:c>
      <x:c r="B1" s="130"/>
      <x:c r="C1" s="130"/>
      <x:c r="D1" s="130"/>
      <x:c r="E1" s="64"/>
      <x:c r="F1" s="64"/>
    </x:row>
    <x:row r="3">
      <x:c r="A3" s="133" t="str">
        <x:v>Metric</x:v>
      </x:c>
      <x:c r="B3" s="134" t="str">
        <x:v>Value</x:v>
      </x:c>
      <x:c r="C3" s="80"/>
      <x:c r="D3" s="81"/>
      <x:c r="E3" s="82" t="str">
        <x:v>Local Food Rescue and Redistribution Platform</x:v>
      </x:c>
    </x:row>
    <x:row r="4">
      <x:c r="A4" s="135" t="str">
        <x:v>Total cases</x:v>
      </x:c>
      <x:c r="B4" s="136" t="n">
        <x:f>COUNTA('Test Plan'!A6:A55)</x:f>
        <x:v>50</x:v>
      </x:c>
      <x:c r="C4" s="84"/>
      <x:c r="D4" s="75"/>
      <x:c r="E4" s="85" t="str">
        <x:v>Testing / QA</x:v>
      </x:c>
    </x:row>
    <x:row r="5">
      <x:c r="A5" s="135" t="str">
        <x:v>PASS</x:v>
      </x:c>
      <x:c r="B5" s="136" t="n">
        <x:f>COUNTIF('Test Plan'!G6:G55,"PASS")</x:f>
        <x:v>1</x:v>
      </x:c>
      <x:c r="C5" s="84"/>
      <x:c r="D5" s="75"/>
      <x:c r="E5" s="85" t="str">
        <x:v>Spring Boot</x:v>
      </x:c>
    </x:row>
    <x:row r="6">
      <x:c r="A6" s="135" t="str">
        <x:v>FAIL</x:v>
      </x:c>
      <x:c r="B6" s="136" t="n">
        <x:f>COUNTIF('Test Plan'!G6:G55,"FAIL")</x:f>
        <x:v>0</x:v>
      </x:c>
      <x:c r="C6" s="84"/>
      <x:c r="D6" s="75"/>
      <x:c r="E6" s="85" t="str">
        <x:v>8080</x:v>
      </x:c>
    </x:row>
    <x:row r="7">
      <x:c r="A7" s="137" t="str">
        <x:v>BLOCKED</x:v>
      </x:c>
      <x:c r="B7" s="138" t="n">
        <x:f>COUNTIF('Test Plan'!G6:G55,"BLOCKED")</x:f>
        <x:v>0</x:v>
      </x:c>
      <x:c r="C7" s="87"/>
      <x:c r="D7" s="88"/>
      <x:c r="E7" s="89" t="str">
        <x:v>Dev (H2 in-memory DB)</x:v>
      </x:c>
    </x:row>
    <x:row r="9" ht="30" customHeight="1">
      <x:c r="A9" s="140" t="str">
        <x:v>Execution note</x:v>
      </x:c>
      <x:c r="B9" s="28" t="str"/>
      <x:c r="C9" s="28" t="str"/>
      <x:c r="D9" s="28" t="str"/>
    </x:row>
    <x:row r="10" ht="30" customHeight="1">
      <x:c r="A10" s="28" t="str">
        <x:v>1</x:v>
      </x:c>
      <x:c r="B10" s="28" t="str">
        <x:v>Start backend with Java 17 + Maven.</x:v>
      </x:c>
      <x:c r="C10" s="28" t="str"/>
      <x:c r="D10" s="28" t="str"/>
    </x:row>
    <x:row r="11" ht="30" customHeight="1">
      <x:c r="A11" s="28" t="str">
        <x:v>2</x:v>
      </x:c>
      <x:c r="B11" s="28" t="str">
        <x:v>Run seed-demo-data.ps1 to recreate demo users and a donation.</x:v>
      </x:c>
      <x:c r="C11" s="28" t="str"/>
      <x:c r="D11" s="28" t="str"/>
    </x:row>
    <x:row r="12" ht="30" customHeight="1">
      <x:c r="A12" s="28" t="str">
        <x:v>3</x:v>
      </x:c>
      <x:c r="B12" s="28" t="str">
        <x:v>Execute planned tests and fill Actual Result / Pass-Fail / Evidence.</x:v>
      </x:c>
      <x:c r="C12" s="28" t="str"/>
      <x:c r="D12" s="28" t="str"/>
    </x:row>
    <x:row r="13" ht="30" customHeight="1">
      <x:c r="A13" s="28" t="str">
        <x:v>4</x:v>
      </x:c>
      <x:c r="B13" s="28" t="str">
        <x:v>Tomorrow (09-Oct): run every remaining 'still to run' backend test and open defect log.</x:v>
      </x:c>
      <x:c r="C13" s="28" t="str"/>
      <x:c r="D13" s="28" t="str"/>
    </x:row>
    <x:row r="14" ht="30" customHeight="1">
      <x:c r="A14" s="28" t="str">
        <x:v>5</x:v>
      </x:c>
      <x:c r="B14" s="28" t="str">
        <x:v>Keep screenshots named with the Test ID.</x:v>
      </x:c>
      <x:c r="C14" s="28" t="str"/>
      <x:c r="D14" s="28" t="str"/>
    </x:row>
  </x:sheetData>
  <x:mergeCells>
    <x:mergeCell ref="A1:F1"/>
    <x:mergeCell ref="A1:D1"/>
    <x:mergeCell ref="A9:D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141" t="str">
        <x:v>Reference</x:v>
      </x:c>
      <x:c r="B1" s="141" t="str">
        <x:v>Location / Note</x:v>
      </x:c>
    </x:row>
    <x:row r="2">
      <x:c r="A2" s="28" t="str">
        <x:v>10-Day Team Plan</x:v>
      </x:c>
      <x:c r="B2" s="28" t="str">
        <x:v>10_Day_Team_Plan(1).pdf — Haoxuan Day 2 requires formal test plan ≥40 cases + seed-demo-data.ps1.</x:v>
      </x:c>
    </x:row>
    <x:row r="3">
      <x:c r="A3" s="28" t="str">
        <x:v>Backend API Documentation</x:v>
      </x:c>
      <x:c r="B3" s="28" t="str">
        <x:v>https://github.com/anil8044/food-rescue-backend/blob/main/food-rescue-backend/API_DOCUMENTATION.md</x:v>
      </x:c>
    </x:row>
    <x:row r="4">
      <x:c r="A4" s="28" t="str">
        <x:v>API Base URL</x:v>
      </x:c>
      <x:c r="B4" s="28" t="str">
        <x:v>http://localhost:8080/api</x:v>
      </x:c>
    </x:row>
    <x:row r="5">
      <x:c r="A5" s="28" t="str">
        <x:v>Important note</x:v>
      </x:c>
      <x:c r="B5" s="28" t="str">
        <x:v>User / Notification / Dashboard sections need re-verification; Donation and Reservation sections were documented as verified.</x:v>
      </x:c>
    </x:row>
  </x:sheetData>
  <x:pageMargins left="0.7" right="0.7" top="0.75" bottom="0.75" header="0.3" footer="0.3"/>
</x:worksheet>
</file>