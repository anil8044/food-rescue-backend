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mmy\Desktop\QA_Testing\"/>
    </mc:Choice>
  </mc:AlternateContent>
  <xr:revisionPtr revIDLastSave="0" documentId="13_ncr:1_{3FE63FB6-747B-4924-99D0-F18B4E225E32}" xr6:coauthVersionLast="47" xr6:coauthVersionMax="47" xr10:uidLastSave="{00000000-0000-0000-0000-000000000000}"/>
  <bookViews>
    <workbookView xWindow="1808" yWindow="1808" windowWidth="21600" windowHeight="11392" xr2:uid="{00000000-000D-0000-FFFF-FFFF00000000}"/>
  </bookViews>
  <sheets>
    <sheet name="Test Cases" sheetId="1" r:id="rId1"/>
    <sheet name="Defect Log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</calcChain>
</file>

<file path=xl/sharedStrings.xml><?xml version="1.0" encoding="utf-8"?>
<sst xmlns="http://schemas.openxmlformats.org/spreadsheetml/2006/main" count="130" uniqueCount="116">
  <si>
    <t>Record each test immediately after execution. Save screenshots using the Test ID, e.g. TC01_Backend_Health.png.</t>
  </si>
  <si>
    <t>Test ID</t>
  </si>
  <si>
    <t>Function</t>
  </si>
  <si>
    <t>Test Steps</t>
  </si>
  <si>
    <t>Expected Result</t>
  </si>
  <si>
    <t>Actual Result</t>
  </si>
  <si>
    <t>Result</t>
  </si>
  <si>
    <t>Evidence</t>
  </si>
  <si>
    <t>Notes</t>
  </si>
  <si>
    <t>TC01</t>
  </si>
  <si>
    <t>Backend Health Check</t>
  </si>
  <si>
    <t>Open http://localhost:8080/actuator/health in the browser.</t>
  </si>
  <si>
    <t>Backend returns status "UP".</t>
  </si>
  <si>
    <t>{"status":"UP"}</t>
  </si>
  <si>
    <t>PASS</t>
  </si>
  <si>
    <t>TC01_Backend_Health.png</t>
  </si>
  <si>
    <t>Completed on 07-Oct-2026.</t>
  </si>
  <si>
    <t>TC02</t>
  </si>
  <si>
    <t>User List</t>
  </si>
  <si>
    <t>Open http://localhost:8080/api/users and check the response.</t>
  </si>
  <si>
    <t>API returns a valid user list (an empty list is acceptable if no users exist).</t>
  </si>
  <si>
    <t>NOT TESTED</t>
  </si>
  <si>
    <t>TC03</t>
  </si>
  <si>
    <t>User Registration</t>
  </si>
  <si>
    <t>Create a new donor user using the documented user creation endpoint.</t>
  </si>
  <si>
    <t>User is created successfully with valid details.</t>
  </si>
  <si>
    <t>TC04</t>
  </si>
  <si>
    <t>User Registration - Missing Field</t>
  </si>
  <si>
    <t>Try to create a user with a required field left empty.</t>
  </si>
  <si>
    <t>Request is rejected with a clear validation/error response.</t>
  </si>
  <si>
    <t>TC05</t>
  </si>
  <si>
    <t>Login - Valid Credentials</t>
  </si>
  <si>
    <t>Log in with a valid registered user account.</t>
  </si>
  <si>
    <t>Login succeeds and the system returns the expected authenticated response.</t>
  </si>
  <si>
    <t>TC06</t>
  </si>
  <si>
    <t>Login - Wrong Password</t>
  </si>
  <si>
    <t>Attempt login with a valid user/email and an incorrect password.</t>
  </si>
  <si>
    <t>Login is rejected with an appropriate error response.</t>
  </si>
  <si>
    <t>TC07</t>
  </si>
  <si>
    <t>Create Donation</t>
  </si>
  <si>
    <t>Create a donation using valid required fields.</t>
  </si>
  <si>
    <t>Donation is created successfully and receives an ID/status.</t>
  </si>
  <si>
    <t>TC08</t>
  </si>
  <si>
    <t>Create Donation - Missing Required Field</t>
  </si>
  <si>
    <t>Submit a donation with one required field missing.</t>
  </si>
  <si>
    <t>Donation is not created and validation/error information is returned.</t>
  </si>
  <si>
    <t>TC09</t>
  </si>
  <si>
    <t>Browse Donations</t>
  </si>
  <si>
    <t>Request the list of available donations.</t>
  </si>
  <si>
    <t>Available donations are returned correctly.</t>
  </si>
  <si>
    <t>TC10</t>
  </si>
  <si>
    <t>Donation History</t>
  </si>
  <si>
    <t>Request the donor's donation history.</t>
  </si>
  <si>
    <t>Only the relevant donor's donation history is returned.</t>
  </si>
  <si>
    <t>TC11</t>
  </si>
  <si>
    <t>Create Reservation</t>
  </si>
  <si>
    <t>Reserve an available donation as a recipient.</t>
  </si>
  <si>
    <t>Reservation is created successfully and donation/reservation status updates correctly.</t>
  </si>
  <si>
    <t>TC12</t>
  </si>
  <si>
    <t>Duplicate Reservation</t>
  </si>
  <si>
    <t>Attempt to reserve the same donation again when it should no longer be available.</t>
  </si>
  <si>
    <t>Duplicate/invalid reservation is rejected.</t>
  </si>
  <si>
    <t>TC13</t>
  </si>
  <si>
    <t>Role Access</t>
  </si>
  <si>
    <t>Access donor/recipient functions using the wrong role.</t>
  </si>
  <si>
    <t>Unauthorized role cannot perform restricted actions.</t>
  </si>
  <si>
    <t>TC14</t>
  </si>
  <si>
    <t>Invalid ID / Not Found</t>
  </si>
  <si>
    <t>Request a user, donation, or reservation using an ID that does not exist.</t>
  </si>
  <si>
    <t>API returns an appropriate not-found/error response.</t>
  </si>
  <si>
    <t>TC15</t>
  </si>
  <si>
    <t>Basic End-to-End Flow</t>
  </si>
  <si>
    <t>Create user -&gt; login -&gt; create donation -&gt; browse -&gt; reserve.</t>
  </si>
  <si>
    <t>Complete core flow works without critical errors.</t>
  </si>
  <si>
    <t>Food Rescue Platform - Defect Log</t>
  </si>
  <si>
    <t>Bug ID</t>
  </si>
  <si>
    <t>Related Test</t>
  </si>
  <si>
    <t>Feature</t>
  </si>
  <si>
    <t>Issue / Actual Behaviour</t>
  </si>
  <si>
    <t>Expected Behaviour</t>
  </si>
  <si>
    <t>Severity</t>
  </si>
  <si>
    <t>Status</t>
  </si>
  <si>
    <t>QA Testing Summary</t>
  </si>
  <si>
    <t>Metric</t>
  </si>
  <si>
    <t>Count</t>
  </si>
  <si>
    <t>Project</t>
  </si>
  <si>
    <t>Local Food Rescue and Redistribution Platform</t>
  </si>
  <si>
    <t>Total Planned Tests</t>
  </si>
  <si>
    <t>QA Role</t>
  </si>
  <si>
    <t>Testing / QA</t>
  </si>
  <si>
    <t>Passed</t>
  </si>
  <si>
    <t>Backend</t>
  </si>
  <si>
    <t>Spring Boot</t>
  </si>
  <si>
    <t>Failed</t>
  </si>
  <si>
    <t>Local Port</t>
  </si>
  <si>
    <t>8080</t>
  </si>
  <si>
    <t>Blocked</t>
  </si>
  <si>
    <t>Current Environment</t>
  </si>
  <si>
    <t>Dev (H2 in-memory DB)</t>
  </si>
  <si>
    <t>Food Rescue Platform - QA Test Cases</t>
    <phoneticPr fontId="6" type="noConversion"/>
  </si>
  <si>
    <t>API returned an empty user list: []</t>
    <phoneticPr fontId="6" type="noConversion"/>
  </si>
  <si>
    <t>TC02_User_List.png</t>
    <phoneticPr fontId="6" type="noConversion"/>
  </si>
  <si>
    <t>No users currently exist in the H2 in-memory database.</t>
    <phoneticPr fontId="6" type="noConversion"/>
  </si>
  <si>
    <t>User was created successfully and user details were returned.</t>
    <phoneticPr fontId="6" type="noConversion"/>
  </si>
  <si>
    <t>PASS</t>
    <phoneticPr fontId="6" type="noConversion"/>
  </si>
  <si>
    <t>TC03_User_Registration.png</t>
    <phoneticPr fontId="6" type="noConversion"/>
  </si>
  <si>
    <t>Created DONOR user qa.donor01@example.com successfully.</t>
    <phoneticPr fontId="6" type="noConversion"/>
  </si>
  <si>
    <t>Request was rejected with HTTP 400 Bad Request when the email field was missing.</t>
    <phoneticPr fontId="6" type="noConversion"/>
  </si>
  <si>
    <t>TC04_User_Missing_Email.png</t>
    <phoneticPr fontId="6" type="noConversion"/>
  </si>
  <si>
    <t>User creation was correctly rejected because the required email field was missing.</t>
    <phoneticPr fontId="6" type="noConversion"/>
  </si>
  <si>
    <t>Login succeeded and the correct DONOR user details were returned.</t>
    <phoneticPr fontId="6" type="noConversion"/>
  </si>
  <si>
    <t>TC05_Login_Valid.png</t>
    <phoneticPr fontId="6" type="noConversion"/>
  </si>
  <si>
    <t>Valid credentials successfully authenticated qa.donor01@example.com.</t>
    <phoneticPr fontId="6" type="noConversion"/>
  </si>
  <si>
    <t>Login request with an incorrect password was rejected with HTTP 401 Unauthorized.</t>
    <phoneticPr fontId="6" type="noConversion"/>
  </si>
  <si>
    <t>TC06_Login_Wrong_Password.png</t>
    <phoneticPr fontId="6" type="noConversion"/>
  </si>
  <si>
    <t>System correctly rejected invalid login credentials.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</si>
</sst>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7F6000"/>
      </patternFill>
    </fill>
    <fill>
      <patternFill patternType="solid">
        <fgColor rgb="FFBF9000"/>
      </patternFill>
    </fill>
    <fill>
      <patternFill patternType="solid">
        <fgColor rgb="FF385723"/>
      </patternFill>
    </fill>
    <fill>
      <patternFill patternType="solid">
        <fgColor rgb="FF70AD47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3" fillId="6" borderId="0" xfId="1" applyFont="1" applyFill="1" applyAlignment="1">
      <alignment horizontal="center" wrapText="1"/>
    </xf>
    <xf numFmtId="0" fontId="4" fillId="9" borderId="0" xfId="1" applyFont="1" applyFill="1"/>
    <xf numFmtId="0" fontId="3" fillId="8" borderId="1" xfId="1" applyFont="1" applyFill="1" applyBorder="1" applyAlignment="1">
      <alignment horizontal="center"/>
    </xf>
    <xf numFmtId="0" fontId="3" fillId="8" borderId="2" xfId="1" applyFont="1" applyFill="1" applyBorder="1" applyAlignment="1">
      <alignment horizontal="center"/>
    </xf>
    <xf numFmtId="0" fontId="0" fillId="0" borderId="2" xfId="1" applyFont="1" applyBorder="1"/>
    <xf numFmtId="0" fontId="4" fillId="9" borderId="2" xfId="1" applyFont="1" applyFill="1" applyBorder="1"/>
    <xf numFmtId="0" fontId="0" fillId="0" borderId="3" xfId="1" applyFont="1" applyBorder="1"/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4" fillId="9" borderId="7" xfId="1" applyFont="1" applyFill="1" applyBorder="1"/>
    <xf numFmtId="0" fontId="0" fillId="0" borderId="8" xfId="1" applyFont="1" applyBorder="1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1" fillId="5" borderId="0" xfId="1" applyFont="1" applyFill="1" applyAlignment="1">
      <alignment horizontal="center"/>
    </xf>
    <xf numFmtId="0" fontId="1" fillId="7" borderId="0" xfId="1" applyFont="1" applyFill="1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6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CasesTable" displayName="TestCasesTable" ref="A4:H19" totalsRowShown="0">
  <tableColumns count="8">
    <tableColumn id="1" xr3:uid="{00000000-0010-0000-0000-000001000000}" name="Test ID"/>
    <tableColumn id="2" xr3:uid="{00000000-0010-0000-0000-000002000000}" name="Function"/>
    <tableColumn id="3" xr3:uid="{00000000-0010-0000-0000-000003000000}" name="Test Steps"/>
    <tableColumn id="4" xr3:uid="{00000000-0010-0000-0000-000004000000}" name="Expected Result"/>
    <tableColumn id="5" xr3:uid="{00000000-0010-0000-0000-000005000000}" name="Actual Result"/>
    <tableColumn id="6" xr3:uid="{00000000-0010-0000-0000-000006000000}" name="Result"/>
    <tableColumn id="7" xr3:uid="{00000000-0010-0000-0000-000007000000}" name="Evidence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C1" workbookViewId="0">
      <selection activeCell="I10" sqref="I10"/>
    </sheetView>
  </sheetViews>
  <sheetFormatPr defaultRowHeight="13.5"/>
  <cols>
    <col min="1" max="1" width="10" customWidth="1"/>
    <col min="2" max="2" width="24" customWidth="1"/>
    <col min="3" max="3" width="38" customWidth="1"/>
    <col min="4" max="4" width="36" customWidth="1"/>
    <col min="5" max="5" width="34" customWidth="1"/>
    <col min="6" max="6" width="14" customWidth="1"/>
    <col min="7" max="7" width="28" customWidth="1"/>
    <col min="8" max="8" width="30" customWidth="1"/>
  </cols>
  <sheetData>
    <row r="1" spans="1:8" ht="14" customHeight="1">
      <c r="A1" s="24" t="s">
        <v>99</v>
      </c>
      <c r="B1" s="24"/>
      <c r="C1" s="24"/>
      <c r="D1" s="24"/>
      <c r="E1" s="24"/>
      <c r="F1" s="24"/>
      <c r="G1" s="24"/>
      <c r="H1" s="24"/>
    </row>
    <row r="2" spans="1:8" ht="16.05" customHeight="1">
      <c r="A2" s="25" t="s">
        <v>0</v>
      </c>
      <c r="B2" s="25"/>
      <c r="C2" s="25"/>
      <c r="D2" s="25"/>
      <c r="E2" s="25"/>
      <c r="F2" s="25"/>
      <c r="G2" s="25"/>
      <c r="H2" s="25"/>
    </row>
    <row r="4" spans="1:8" ht="12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8</v>
      </c>
    </row>
    <row r="5" spans="1:8" ht="27">
      <c r="A5" s="6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7" t="s">
        <v>16</v>
      </c>
    </row>
    <row r="6" spans="1:8" ht="27">
      <c r="A6" s="6" t="s">
        <v>17</v>
      </c>
      <c r="B6" s="2" t="s">
        <v>18</v>
      </c>
      <c r="C6" s="2" t="s">
        <v>19</v>
      </c>
      <c r="D6" s="2" t="s">
        <v>20</v>
      </c>
      <c r="E6" s="2" t="s">
        <v>100</v>
      </c>
      <c r="F6" s="2" t="s">
        <v>14</v>
      </c>
      <c r="G6" s="2" t="s">
        <v>101</v>
      </c>
      <c r="H6" s="7" t="s">
        <v>102</v>
      </c>
    </row>
    <row r="7" spans="1:8" ht="40.5">
      <c r="A7" s="6" t="s">
        <v>22</v>
      </c>
      <c r="B7" s="2" t="s">
        <v>23</v>
      </c>
      <c r="C7" s="2" t="s">
        <v>24</v>
      </c>
      <c r="D7" s="2" t="s">
        <v>25</v>
      </c>
      <c r="E7" s="2" t="s">
        <v>103</v>
      </c>
      <c r="F7" s="2" t="s">
        <v>104</v>
      </c>
      <c r="G7" s="2" t="s">
        <v>105</v>
      </c>
      <c r="H7" s="7" t="s">
        <v>106</v>
      </c>
    </row>
    <row r="8" spans="1:8" ht="40.5">
      <c r="A8" s="6" t="s">
        <v>26</v>
      </c>
      <c r="B8" s="2" t="s">
        <v>27</v>
      </c>
      <c r="C8" s="2" t="s">
        <v>28</v>
      </c>
      <c r="D8" s="2" t="s">
        <v>29</v>
      </c>
      <c r="E8" s="2" t="s">
        <v>107</v>
      </c>
      <c r="F8" s="2" t="s">
        <v>104</v>
      </c>
      <c r="G8" s="2" t="s">
        <v>108</v>
      </c>
      <c r="H8" s="7" t="s">
        <v>109</v>
      </c>
    </row>
    <row r="9" spans="1:8" ht="40.5">
      <c r="A9" s="6" t="s">
        <v>30</v>
      </c>
      <c r="B9" s="2" t="s">
        <v>31</v>
      </c>
      <c r="C9" s="2" t="s">
        <v>32</v>
      </c>
      <c r="D9" s="2" t="s">
        <v>33</v>
      </c>
      <c r="E9" s="2" t="s">
        <v>110</v>
      </c>
      <c r="F9" s="2" t="s">
        <v>14</v>
      </c>
      <c r="G9" s="2" t="s">
        <v>111</v>
      </c>
      <c r="H9" s="7" t="s">
        <v>112</v>
      </c>
    </row>
    <row r="10" spans="1:8" ht="40.5">
      <c r="A10" s="6" t="s">
        <v>34</v>
      </c>
      <c r="B10" s="2" t="s">
        <v>35</v>
      </c>
      <c r="C10" s="2" t="s">
        <v>36</v>
      </c>
      <c r="D10" s="2" t="s">
        <v>37</v>
      </c>
      <c r="E10" s="2" t="s">
        <v>113</v>
      </c>
      <c r="F10" s="2" t="s">
        <v>104</v>
      </c>
      <c r="G10" s="2" t="s">
        <v>114</v>
      </c>
      <c r="H10" s="7" t="s">
        <v>115</v>
      </c>
    </row>
    <row r="11" spans="1:8" ht="27">
      <c r="A11" s="6" t="s">
        <v>38</v>
      </c>
      <c r="B11" s="2" t="s">
        <v>39</v>
      </c>
      <c r="C11" s="2" t="s">
        <v>40</v>
      </c>
      <c r="D11" s="2" t="s">
        <v>41</v>
      </c>
      <c r="E11" s="2"/>
      <c r="F11" s="2" t="s">
        <v>21</v>
      </c>
      <c r="G11" s="2"/>
      <c r="H11" s="7"/>
    </row>
    <row r="12" spans="1:8" ht="27">
      <c r="A12" s="6" t="s">
        <v>42</v>
      </c>
      <c r="B12" s="2" t="s">
        <v>43</v>
      </c>
      <c r="C12" s="2" t="s">
        <v>44</v>
      </c>
      <c r="D12" s="2" t="s">
        <v>45</v>
      </c>
      <c r="E12" s="2"/>
      <c r="F12" s="2" t="s">
        <v>21</v>
      </c>
      <c r="G12" s="2"/>
      <c r="H12" s="7"/>
    </row>
    <row r="13" spans="1:8">
      <c r="A13" s="6" t="s">
        <v>46</v>
      </c>
      <c r="B13" s="2" t="s">
        <v>47</v>
      </c>
      <c r="C13" s="2" t="s">
        <v>48</v>
      </c>
      <c r="D13" s="2" t="s">
        <v>49</v>
      </c>
      <c r="E13" s="2"/>
      <c r="F13" s="2" t="s">
        <v>21</v>
      </c>
      <c r="G13" s="2"/>
      <c r="H13" s="7"/>
    </row>
    <row r="14" spans="1:8" ht="27">
      <c r="A14" s="6" t="s">
        <v>50</v>
      </c>
      <c r="B14" s="2" t="s">
        <v>51</v>
      </c>
      <c r="C14" s="2" t="s">
        <v>52</v>
      </c>
      <c r="D14" s="2" t="s">
        <v>53</v>
      </c>
      <c r="E14" s="2"/>
      <c r="F14" s="2" t="s">
        <v>21</v>
      </c>
      <c r="G14" s="2"/>
      <c r="H14" s="7"/>
    </row>
    <row r="15" spans="1:8" ht="40.5">
      <c r="A15" s="6" t="s">
        <v>54</v>
      </c>
      <c r="B15" s="2" t="s">
        <v>55</v>
      </c>
      <c r="C15" s="2" t="s">
        <v>56</v>
      </c>
      <c r="D15" s="2" t="s">
        <v>57</v>
      </c>
      <c r="E15" s="2"/>
      <c r="F15" s="2" t="s">
        <v>21</v>
      </c>
      <c r="G15" s="2"/>
      <c r="H15" s="7"/>
    </row>
    <row r="16" spans="1:8" ht="27">
      <c r="A16" s="6" t="s">
        <v>58</v>
      </c>
      <c r="B16" s="2" t="s">
        <v>59</v>
      </c>
      <c r="C16" s="2" t="s">
        <v>60</v>
      </c>
      <c r="D16" s="2" t="s">
        <v>61</v>
      </c>
      <c r="E16" s="2"/>
      <c r="F16" s="2" t="s">
        <v>21</v>
      </c>
      <c r="G16" s="2"/>
      <c r="H16" s="7"/>
    </row>
    <row r="17" spans="1:8" ht="27">
      <c r="A17" s="6" t="s">
        <v>62</v>
      </c>
      <c r="B17" s="2" t="s">
        <v>63</v>
      </c>
      <c r="C17" s="2" t="s">
        <v>64</v>
      </c>
      <c r="D17" s="2" t="s">
        <v>65</v>
      </c>
      <c r="E17" s="2"/>
      <c r="F17" s="2" t="s">
        <v>21</v>
      </c>
      <c r="G17" s="2"/>
      <c r="H17" s="7"/>
    </row>
    <row r="18" spans="1:8" ht="27">
      <c r="A18" s="6" t="s">
        <v>66</v>
      </c>
      <c r="B18" s="2" t="s">
        <v>67</v>
      </c>
      <c r="C18" s="2" t="s">
        <v>68</v>
      </c>
      <c r="D18" s="2" t="s">
        <v>69</v>
      </c>
      <c r="E18" s="2"/>
      <c r="F18" s="2" t="s">
        <v>21</v>
      </c>
      <c r="G18" s="2"/>
      <c r="H18" s="7"/>
    </row>
    <row r="19" spans="1:8" ht="27">
      <c r="A19" s="6" t="s">
        <v>70</v>
      </c>
      <c r="B19" s="2" t="s">
        <v>71</v>
      </c>
      <c r="C19" s="2" t="s">
        <v>72</v>
      </c>
      <c r="D19" s="2" t="s">
        <v>73</v>
      </c>
      <c r="E19" s="2"/>
      <c r="F19" s="2" t="s">
        <v>21</v>
      </c>
      <c r="G19" s="2"/>
      <c r="H19" s="7"/>
    </row>
    <row r="20" spans="1:8">
      <c r="A20" s="6"/>
      <c r="B20" s="2"/>
      <c r="C20" s="2"/>
      <c r="D20" s="2"/>
      <c r="E20" s="2"/>
      <c r="F20" s="2"/>
      <c r="G20" s="2"/>
      <c r="H20" s="7"/>
    </row>
    <row r="21" spans="1:8">
      <c r="A21" s="6"/>
      <c r="B21" s="2"/>
      <c r="C21" s="2"/>
      <c r="D21" s="2"/>
      <c r="E21" s="2"/>
      <c r="F21" s="2"/>
      <c r="G21" s="2"/>
      <c r="H21" s="7"/>
    </row>
    <row r="22" spans="1:8">
      <c r="A22" s="6"/>
      <c r="B22" s="2"/>
      <c r="C22" s="2"/>
      <c r="D22" s="2"/>
      <c r="E22" s="2"/>
      <c r="F22" s="2"/>
      <c r="G22" s="2"/>
      <c r="H22" s="7"/>
    </row>
    <row r="23" spans="1:8">
      <c r="A23" s="6"/>
      <c r="B23" s="2"/>
      <c r="C23" s="2"/>
      <c r="D23" s="2"/>
      <c r="E23" s="2"/>
      <c r="F23" s="2"/>
      <c r="G23" s="2"/>
      <c r="H23" s="7"/>
    </row>
    <row r="24" spans="1:8">
      <c r="A24" s="6"/>
      <c r="B24" s="2"/>
      <c r="C24" s="2"/>
      <c r="D24" s="2"/>
      <c r="E24" s="2"/>
      <c r="F24" s="2"/>
      <c r="G24" s="2"/>
      <c r="H24" s="7"/>
    </row>
    <row r="25" spans="1:8">
      <c r="A25" s="6"/>
      <c r="B25" s="2"/>
      <c r="C25" s="2"/>
      <c r="D25" s="2"/>
      <c r="E25" s="2"/>
      <c r="F25" s="2"/>
      <c r="G25" s="2"/>
      <c r="H25" s="7"/>
    </row>
    <row r="26" spans="1:8">
      <c r="A26" s="6"/>
      <c r="B26" s="2"/>
      <c r="C26" s="2"/>
      <c r="D26" s="2"/>
      <c r="E26" s="2"/>
      <c r="F26" s="2"/>
      <c r="G26" s="2"/>
      <c r="H26" s="7"/>
    </row>
    <row r="27" spans="1:8">
      <c r="A27" s="6"/>
      <c r="B27" s="2"/>
      <c r="C27" s="2"/>
      <c r="D27" s="2"/>
      <c r="E27" s="2"/>
      <c r="F27" s="2"/>
      <c r="G27" s="2"/>
      <c r="H27" s="7"/>
    </row>
    <row r="28" spans="1:8">
      <c r="A28" s="6"/>
      <c r="B28" s="2"/>
      <c r="C28" s="2"/>
      <c r="D28" s="2"/>
      <c r="E28" s="2"/>
      <c r="F28" s="2"/>
      <c r="G28" s="2"/>
      <c r="H28" s="7"/>
    </row>
    <row r="29" spans="1:8">
      <c r="A29" s="6"/>
      <c r="B29" s="2"/>
      <c r="C29" s="2"/>
      <c r="D29" s="2"/>
      <c r="E29" s="2"/>
      <c r="F29" s="2"/>
      <c r="G29" s="2"/>
      <c r="H29" s="7"/>
    </row>
    <row r="30" spans="1:8">
      <c r="A30" s="6"/>
      <c r="B30" s="2"/>
      <c r="C30" s="2"/>
      <c r="D30" s="2"/>
      <c r="E30" s="2"/>
      <c r="F30" s="2"/>
      <c r="G30" s="2"/>
      <c r="H30" s="7"/>
    </row>
    <row r="31" spans="1:8">
      <c r="A31" s="6"/>
      <c r="B31" s="2"/>
      <c r="C31" s="2"/>
      <c r="D31" s="2"/>
      <c r="E31" s="2"/>
      <c r="F31" s="2"/>
      <c r="G31" s="2"/>
      <c r="H31" s="7"/>
    </row>
    <row r="32" spans="1:8">
      <c r="A32" s="6"/>
      <c r="B32" s="2"/>
      <c r="C32" s="2"/>
      <c r="D32" s="2"/>
      <c r="E32" s="2"/>
      <c r="F32" s="2"/>
      <c r="G32" s="2"/>
      <c r="H32" s="7"/>
    </row>
    <row r="33" spans="1:8">
      <c r="A33" s="6"/>
      <c r="B33" s="2"/>
      <c r="C33" s="2"/>
      <c r="D33" s="2"/>
      <c r="E33" s="2"/>
      <c r="F33" s="2"/>
      <c r="G33" s="2"/>
      <c r="H33" s="7"/>
    </row>
    <row r="34" spans="1:8">
      <c r="A34" s="6"/>
      <c r="B34" s="2"/>
      <c r="C34" s="2"/>
      <c r="D34" s="2"/>
      <c r="E34" s="2"/>
      <c r="F34" s="2"/>
      <c r="G34" s="2"/>
      <c r="H34" s="7"/>
    </row>
    <row r="35" spans="1:8">
      <c r="A35" s="6"/>
      <c r="B35" s="2"/>
      <c r="C35" s="2"/>
      <c r="D35" s="2"/>
      <c r="E35" s="2"/>
      <c r="F35" s="2"/>
      <c r="G35" s="2"/>
      <c r="H35" s="7"/>
    </row>
    <row r="36" spans="1:8">
      <c r="A36" s="6"/>
      <c r="B36" s="2"/>
      <c r="C36" s="2"/>
      <c r="D36" s="2"/>
      <c r="E36" s="2"/>
      <c r="F36" s="2"/>
      <c r="G36" s="2"/>
      <c r="H36" s="7"/>
    </row>
    <row r="37" spans="1:8">
      <c r="A37" s="6"/>
      <c r="B37" s="2"/>
      <c r="C37" s="2"/>
      <c r="D37" s="2"/>
      <c r="E37" s="2"/>
      <c r="F37" s="2"/>
      <c r="G37" s="2"/>
      <c r="H37" s="7"/>
    </row>
    <row r="38" spans="1:8">
      <c r="A38" s="6"/>
      <c r="B38" s="2"/>
      <c r="C38" s="2"/>
      <c r="D38" s="2"/>
      <c r="E38" s="2"/>
      <c r="F38" s="2"/>
      <c r="G38" s="2"/>
      <c r="H38" s="7"/>
    </row>
    <row r="39" spans="1:8">
      <c r="A39" s="6"/>
      <c r="B39" s="2"/>
      <c r="C39" s="2"/>
      <c r="D39" s="2"/>
      <c r="E39" s="2"/>
      <c r="F39" s="2"/>
      <c r="G39" s="2"/>
      <c r="H39" s="7"/>
    </row>
    <row r="40" spans="1:8">
      <c r="A40" s="6"/>
      <c r="B40" s="2"/>
      <c r="C40" s="2"/>
      <c r="D40" s="2"/>
      <c r="E40" s="2"/>
      <c r="F40" s="2"/>
      <c r="G40" s="2"/>
      <c r="H40" s="7"/>
    </row>
    <row r="41" spans="1:8">
      <c r="A41" s="6"/>
      <c r="B41" s="2"/>
      <c r="C41" s="2"/>
      <c r="D41" s="2"/>
      <c r="E41" s="2"/>
      <c r="F41" s="2"/>
      <c r="G41" s="2"/>
      <c r="H41" s="7"/>
    </row>
    <row r="42" spans="1:8">
      <c r="A42" s="6"/>
      <c r="B42" s="2"/>
      <c r="C42" s="2"/>
      <c r="D42" s="2"/>
      <c r="E42" s="2"/>
      <c r="F42" s="2"/>
      <c r="G42" s="2"/>
      <c r="H42" s="7"/>
    </row>
    <row r="43" spans="1:8">
      <c r="A43" s="6"/>
      <c r="B43" s="2"/>
      <c r="C43" s="2"/>
      <c r="D43" s="2"/>
      <c r="E43" s="2"/>
      <c r="F43" s="2"/>
      <c r="G43" s="2"/>
      <c r="H43" s="7"/>
    </row>
    <row r="44" spans="1:8">
      <c r="A44" s="6"/>
      <c r="B44" s="2"/>
      <c r="C44" s="2"/>
      <c r="D44" s="2"/>
      <c r="E44" s="2"/>
      <c r="F44" s="2"/>
      <c r="G44" s="2"/>
      <c r="H44" s="7"/>
    </row>
    <row r="45" spans="1:8">
      <c r="A45" s="6"/>
      <c r="B45" s="2"/>
      <c r="C45" s="2"/>
      <c r="D45" s="2"/>
      <c r="E45" s="2"/>
      <c r="F45" s="2"/>
      <c r="G45" s="2"/>
      <c r="H45" s="7"/>
    </row>
    <row r="46" spans="1:8">
      <c r="A46" s="6"/>
      <c r="B46" s="2"/>
      <c r="C46" s="2"/>
      <c r="D46" s="2"/>
      <c r="E46" s="2"/>
      <c r="F46" s="2"/>
      <c r="G46" s="2"/>
      <c r="H46" s="7"/>
    </row>
    <row r="47" spans="1:8">
      <c r="A47" s="6"/>
      <c r="B47" s="2"/>
      <c r="C47" s="2"/>
      <c r="D47" s="2"/>
      <c r="E47" s="2"/>
      <c r="F47" s="2"/>
      <c r="G47" s="2"/>
      <c r="H47" s="7"/>
    </row>
    <row r="48" spans="1:8">
      <c r="A48" s="6"/>
      <c r="B48" s="2"/>
      <c r="C48" s="2"/>
      <c r="D48" s="2"/>
      <c r="E48" s="2"/>
      <c r="F48" s="2"/>
      <c r="G48" s="2"/>
      <c r="H48" s="7"/>
    </row>
    <row r="49" spans="1:8">
      <c r="A49" s="6"/>
      <c r="B49" s="2"/>
      <c r="C49" s="2"/>
      <c r="D49" s="2"/>
      <c r="E49" s="2"/>
      <c r="F49" s="2"/>
      <c r="G49" s="2"/>
      <c r="H49" s="7"/>
    </row>
    <row r="50" spans="1:8">
      <c r="A50" s="6"/>
      <c r="B50" s="2"/>
      <c r="C50" s="2"/>
      <c r="D50" s="2"/>
      <c r="E50" s="2"/>
      <c r="F50" s="2"/>
      <c r="G50" s="2"/>
      <c r="H50" s="7"/>
    </row>
    <row r="51" spans="1:8">
      <c r="A51" s="6"/>
      <c r="B51" s="2"/>
      <c r="C51" s="2"/>
      <c r="D51" s="2"/>
      <c r="E51" s="2"/>
      <c r="F51" s="2"/>
      <c r="G51" s="2"/>
      <c r="H51" s="7"/>
    </row>
    <row r="52" spans="1:8">
      <c r="A52" s="6"/>
      <c r="B52" s="2"/>
      <c r="C52" s="2"/>
      <c r="D52" s="2"/>
      <c r="E52" s="2"/>
      <c r="F52" s="2"/>
      <c r="G52" s="2"/>
      <c r="H52" s="7"/>
    </row>
    <row r="53" spans="1:8">
      <c r="A53" s="6"/>
      <c r="B53" s="2"/>
      <c r="C53" s="2"/>
      <c r="D53" s="2"/>
      <c r="E53" s="2"/>
      <c r="F53" s="2"/>
      <c r="G53" s="2"/>
      <c r="H53" s="7"/>
    </row>
    <row r="54" spans="1:8">
      <c r="A54" s="6"/>
      <c r="B54" s="2"/>
      <c r="C54" s="2"/>
      <c r="D54" s="2"/>
      <c r="E54" s="2"/>
      <c r="F54" s="2"/>
      <c r="G54" s="2"/>
      <c r="H54" s="7"/>
    </row>
    <row r="55" spans="1:8">
      <c r="A55" s="6"/>
      <c r="B55" s="2"/>
      <c r="C55" s="2"/>
      <c r="D55" s="2"/>
      <c r="E55" s="2"/>
      <c r="F55" s="2"/>
      <c r="G55" s="2"/>
      <c r="H55" s="7"/>
    </row>
    <row r="56" spans="1:8">
      <c r="A56" s="6"/>
      <c r="B56" s="2"/>
      <c r="C56" s="2"/>
      <c r="D56" s="2"/>
      <c r="E56" s="2"/>
      <c r="F56" s="2"/>
      <c r="G56" s="2"/>
      <c r="H56" s="7"/>
    </row>
    <row r="57" spans="1:8">
      <c r="A57" s="6"/>
      <c r="B57" s="2"/>
      <c r="C57" s="2"/>
      <c r="D57" s="2"/>
      <c r="E57" s="2"/>
      <c r="F57" s="2"/>
      <c r="G57" s="2"/>
      <c r="H57" s="7"/>
    </row>
    <row r="58" spans="1:8">
      <c r="A58" s="6"/>
      <c r="B58" s="2"/>
      <c r="C58" s="2"/>
      <c r="D58" s="2"/>
      <c r="E58" s="2"/>
      <c r="F58" s="2"/>
      <c r="G58" s="2"/>
      <c r="H58" s="7"/>
    </row>
    <row r="59" spans="1:8">
      <c r="A59" s="6"/>
      <c r="B59" s="2"/>
      <c r="C59" s="2"/>
      <c r="D59" s="2"/>
      <c r="E59" s="2"/>
      <c r="F59" s="2"/>
      <c r="G59" s="2"/>
      <c r="H59" s="7"/>
    </row>
    <row r="60" spans="1:8">
      <c r="A60" s="6"/>
      <c r="B60" s="2"/>
      <c r="C60" s="2"/>
      <c r="D60" s="2"/>
      <c r="E60" s="2"/>
      <c r="F60" s="2"/>
      <c r="G60" s="2"/>
      <c r="H60" s="7"/>
    </row>
    <row r="61" spans="1:8">
      <c r="A61" s="6"/>
      <c r="B61" s="2"/>
      <c r="C61" s="2"/>
      <c r="D61" s="2"/>
      <c r="E61" s="2"/>
      <c r="F61" s="2"/>
      <c r="G61" s="2"/>
      <c r="H61" s="7"/>
    </row>
    <row r="62" spans="1:8">
      <c r="A62" s="6"/>
      <c r="B62" s="2"/>
      <c r="C62" s="2"/>
      <c r="D62" s="2"/>
      <c r="E62" s="2"/>
      <c r="F62" s="2"/>
      <c r="G62" s="2"/>
      <c r="H62" s="7"/>
    </row>
    <row r="63" spans="1:8">
      <c r="A63" s="6"/>
      <c r="B63" s="2"/>
      <c r="C63" s="2"/>
      <c r="D63" s="2"/>
      <c r="E63" s="2"/>
      <c r="F63" s="2"/>
      <c r="G63" s="2"/>
      <c r="H63" s="7"/>
    </row>
    <row r="64" spans="1:8">
      <c r="A64" s="6"/>
      <c r="B64" s="2"/>
      <c r="C64" s="2"/>
      <c r="D64" s="2"/>
      <c r="E64" s="2"/>
      <c r="F64" s="2"/>
      <c r="G64" s="2"/>
      <c r="H64" s="7"/>
    </row>
    <row r="65" spans="1:8">
      <c r="A65" s="6"/>
      <c r="B65" s="2"/>
      <c r="C65" s="2"/>
      <c r="D65" s="2"/>
      <c r="E65" s="2"/>
      <c r="F65" s="2"/>
      <c r="G65" s="2"/>
      <c r="H65" s="7"/>
    </row>
    <row r="66" spans="1:8">
      <c r="A66" s="6"/>
      <c r="B66" s="2"/>
      <c r="C66" s="2"/>
      <c r="D66" s="2"/>
      <c r="E66" s="2"/>
      <c r="F66" s="2"/>
      <c r="G66" s="2"/>
      <c r="H66" s="7"/>
    </row>
    <row r="67" spans="1:8">
      <c r="A67" s="6"/>
      <c r="B67" s="2"/>
      <c r="C67" s="2"/>
      <c r="D67" s="2"/>
      <c r="E67" s="2"/>
      <c r="F67" s="2"/>
      <c r="G67" s="2"/>
      <c r="H67" s="7"/>
    </row>
    <row r="68" spans="1:8">
      <c r="A68" s="6"/>
      <c r="B68" s="2"/>
      <c r="C68" s="2"/>
      <c r="D68" s="2"/>
      <c r="E68" s="2"/>
      <c r="F68" s="2"/>
      <c r="G68" s="2"/>
      <c r="H68" s="7"/>
    </row>
    <row r="69" spans="1:8">
      <c r="A69" s="6"/>
      <c r="B69" s="2"/>
      <c r="C69" s="2"/>
      <c r="D69" s="2"/>
      <c r="E69" s="2"/>
      <c r="F69" s="2"/>
      <c r="G69" s="2"/>
      <c r="H69" s="7"/>
    </row>
    <row r="70" spans="1:8">
      <c r="A70" s="6"/>
      <c r="B70" s="2"/>
      <c r="C70" s="2"/>
      <c r="D70" s="2"/>
      <c r="E70" s="2"/>
      <c r="F70" s="2"/>
      <c r="G70" s="2"/>
      <c r="H70" s="7"/>
    </row>
    <row r="71" spans="1:8">
      <c r="A71" s="6"/>
      <c r="B71" s="2"/>
      <c r="C71" s="2"/>
      <c r="D71" s="2"/>
      <c r="E71" s="2"/>
      <c r="F71" s="2"/>
      <c r="G71" s="2"/>
      <c r="H71" s="7"/>
    </row>
    <row r="72" spans="1:8">
      <c r="A72" s="6"/>
      <c r="B72" s="2"/>
      <c r="C72" s="2"/>
      <c r="D72" s="2"/>
      <c r="E72" s="2"/>
      <c r="F72" s="2"/>
      <c r="G72" s="2"/>
      <c r="H72" s="7"/>
    </row>
    <row r="73" spans="1:8">
      <c r="A73" s="6"/>
      <c r="B73" s="2"/>
      <c r="C73" s="2"/>
      <c r="D73" s="2"/>
      <c r="E73" s="2"/>
      <c r="F73" s="2"/>
      <c r="G73" s="2"/>
      <c r="H73" s="7"/>
    </row>
    <row r="74" spans="1:8">
      <c r="A74" s="6"/>
      <c r="B74" s="2"/>
      <c r="C74" s="2"/>
      <c r="D74" s="2"/>
      <c r="E74" s="2"/>
      <c r="F74" s="2"/>
      <c r="G74" s="2"/>
      <c r="H74" s="7"/>
    </row>
    <row r="75" spans="1:8">
      <c r="A75" s="6"/>
      <c r="B75" s="2"/>
      <c r="C75" s="2"/>
      <c r="D75" s="2"/>
      <c r="E75" s="2"/>
      <c r="F75" s="2"/>
      <c r="G75" s="2"/>
      <c r="H75" s="7"/>
    </row>
    <row r="76" spans="1:8">
      <c r="A76" s="6"/>
      <c r="B76" s="2"/>
      <c r="C76" s="2"/>
      <c r="D76" s="2"/>
      <c r="E76" s="2"/>
      <c r="F76" s="2"/>
      <c r="G76" s="2"/>
      <c r="H76" s="7"/>
    </row>
    <row r="77" spans="1:8">
      <c r="A77" s="6"/>
      <c r="B77" s="2"/>
      <c r="C77" s="2"/>
      <c r="D77" s="2"/>
      <c r="E77" s="2"/>
      <c r="F77" s="2"/>
      <c r="G77" s="2"/>
      <c r="H77" s="7"/>
    </row>
    <row r="78" spans="1:8">
      <c r="A78" s="6"/>
      <c r="B78" s="2"/>
      <c r="C78" s="2"/>
      <c r="D78" s="2"/>
      <c r="E78" s="2"/>
      <c r="F78" s="2"/>
      <c r="G78" s="2"/>
      <c r="H78" s="7"/>
    </row>
    <row r="79" spans="1:8">
      <c r="A79" s="6"/>
      <c r="B79" s="2"/>
      <c r="C79" s="2"/>
      <c r="D79" s="2"/>
      <c r="E79" s="2"/>
      <c r="F79" s="2"/>
      <c r="G79" s="2"/>
      <c r="H79" s="7"/>
    </row>
    <row r="80" spans="1:8">
      <c r="A80" s="6"/>
      <c r="B80" s="2"/>
      <c r="C80" s="2"/>
      <c r="D80" s="2"/>
      <c r="E80" s="2"/>
      <c r="F80" s="2"/>
      <c r="G80" s="2"/>
      <c r="H80" s="7"/>
    </row>
    <row r="81" spans="1:8">
      <c r="A81" s="6"/>
      <c r="B81" s="2"/>
      <c r="C81" s="2"/>
      <c r="D81" s="2"/>
      <c r="E81" s="2"/>
      <c r="F81" s="2"/>
      <c r="G81" s="2"/>
      <c r="H81" s="7"/>
    </row>
    <row r="82" spans="1:8">
      <c r="A82" s="6"/>
      <c r="B82" s="2"/>
      <c r="C82" s="2"/>
      <c r="D82" s="2"/>
      <c r="E82" s="2"/>
      <c r="F82" s="2"/>
      <c r="G82" s="2"/>
      <c r="H82" s="7"/>
    </row>
    <row r="83" spans="1:8">
      <c r="A83" s="6"/>
      <c r="B83" s="2"/>
      <c r="C83" s="2"/>
      <c r="D83" s="2"/>
      <c r="E83" s="2"/>
      <c r="F83" s="2"/>
      <c r="G83" s="2"/>
      <c r="H83" s="7"/>
    </row>
    <row r="84" spans="1:8">
      <c r="A84" s="6"/>
      <c r="B84" s="2"/>
      <c r="C84" s="2"/>
      <c r="D84" s="2"/>
      <c r="E84" s="2"/>
      <c r="F84" s="2"/>
      <c r="G84" s="2"/>
      <c r="H84" s="7"/>
    </row>
    <row r="85" spans="1:8">
      <c r="A85" s="6"/>
      <c r="B85" s="2"/>
      <c r="C85" s="2"/>
      <c r="D85" s="2"/>
      <c r="E85" s="2"/>
      <c r="F85" s="2"/>
      <c r="G85" s="2"/>
      <c r="H85" s="7"/>
    </row>
    <row r="86" spans="1:8">
      <c r="A86" s="6"/>
      <c r="B86" s="2"/>
      <c r="C86" s="2"/>
      <c r="D86" s="2"/>
      <c r="E86" s="2"/>
      <c r="F86" s="2"/>
      <c r="G86" s="2"/>
      <c r="H86" s="7"/>
    </row>
    <row r="87" spans="1:8">
      <c r="A87" s="6"/>
      <c r="B87" s="2"/>
      <c r="C87" s="2"/>
      <c r="D87" s="2"/>
      <c r="E87" s="2"/>
      <c r="F87" s="2"/>
      <c r="G87" s="2"/>
      <c r="H87" s="7"/>
    </row>
    <row r="88" spans="1:8">
      <c r="A88" s="6"/>
      <c r="B88" s="2"/>
      <c r="C88" s="2"/>
      <c r="D88" s="2"/>
      <c r="E88" s="2"/>
      <c r="F88" s="2"/>
      <c r="G88" s="2"/>
      <c r="H88" s="7"/>
    </row>
    <row r="89" spans="1:8">
      <c r="A89" s="6"/>
      <c r="B89" s="2"/>
      <c r="C89" s="2"/>
      <c r="D89" s="2"/>
      <c r="E89" s="2"/>
      <c r="F89" s="2"/>
      <c r="G89" s="2"/>
      <c r="H89" s="7"/>
    </row>
    <row r="90" spans="1:8">
      <c r="A90" s="6"/>
      <c r="B90" s="2"/>
      <c r="C90" s="2"/>
      <c r="D90" s="2"/>
      <c r="E90" s="2"/>
      <c r="F90" s="2"/>
      <c r="G90" s="2"/>
      <c r="H90" s="7"/>
    </row>
    <row r="91" spans="1:8">
      <c r="A91" s="6"/>
      <c r="B91" s="2"/>
      <c r="C91" s="2"/>
      <c r="D91" s="2"/>
      <c r="E91" s="2"/>
      <c r="F91" s="2"/>
      <c r="G91" s="2"/>
      <c r="H91" s="7"/>
    </row>
    <row r="92" spans="1:8">
      <c r="A92" s="6"/>
      <c r="B92" s="2"/>
      <c r="C92" s="2"/>
      <c r="D92" s="2"/>
      <c r="E92" s="2"/>
      <c r="F92" s="2"/>
      <c r="G92" s="2"/>
      <c r="H92" s="7"/>
    </row>
    <row r="93" spans="1:8">
      <c r="A93" s="6"/>
      <c r="B93" s="2"/>
      <c r="C93" s="2"/>
      <c r="D93" s="2"/>
      <c r="E93" s="2"/>
      <c r="F93" s="2"/>
      <c r="G93" s="2"/>
      <c r="H93" s="7"/>
    </row>
    <row r="94" spans="1:8">
      <c r="A94" s="6"/>
      <c r="B94" s="2"/>
      <c r="C94" s="2"/>
      <c r="D94" s="2"/>
      <c r="E94" s="2"/>
      <c r="F94" s="2"/>
      <c r="G94" s="2"/>
      <c r="H94" s="7"/>
    </row>
    <row r="95" spans="1:8">
      <c r="A95" s="6"/>
      <c r="B95" s="2"/>
      <c r="C95" s="2"/>
      <c r="D95" s="2"/>
      <c r="E95" s="2"/>
      <c r="F95" s="2"/>
      <c r="G95" s="2"/>
      <c r="H95" s="7"/>
    </row>
    <row r="96" spans="1:8">
      <c r="A96" s="6"/>
      <c r="B96" s="2"/>
      <c r="C96" s="2"/>
      <c r="D96" s="2"/>
      <c r="E96" s="2"/>
      <c r="F96" s="2"/>
      <c r="G96" s="2"/>
      <c r="H96" s="7"/>
    </row>
    <row r="97" spans="1:8">
      <c r="A97" s="6"/>
      <c r="B97" s="2"/>
      <c r="C97" s="2"/>
      <c r="D97" s="2"/>
      <c r="E97" s="2"/>
      <c r="F97" s="2"/>
      <c r="G97" s="2"/>
      <c r="H97" s="7"/>
    </row>
    <row r="98" spans="1:8">
      <c r="A98" s="6"/>
      <c r="B98" s="2"/>
      <c r="C98" s="2"/>
      <c r="D98" s="2"/>
      <c r="E98" s="2"/>
      <c r="F98" s="2"/>
      <c r="G98" s="2"/>
      <c r="H98" s="7"/>
    </row>
    <row r="99" spans="1:8">
      <c r="A99" s="6"/>
      <c r="B99" s="2"/>
      <c r="C99" s="2"/>
      <c r="D99" s="2"/>
      <c r="E99" s="2"/>
      <c r="F99" s="2"/>
      <c r="G99" s="2"/>
      <c r="H99" s="7"/>
    </row>
    <row r="100" spans="1:8">
      <c r="A100" s="8"/>
      <c r="B100" s="9"/>
      <c r="C100" s="9"/>
      <c r="D100" s="9"/>
      <c r="E100" s="9"/>
      <c r="F100" s="9"/>
      <c r="G100" s="9"/>
      <c r="H100" s="10"/>
    </row>
  </sheetData>
  <mergeCells count="2">
    <mergeCell ref="A1:H1"/>
    <mergeCell ref="A2:H2"/>
  </mergeCells>
  <phoneticPr fontId="6" type="noConversion"/>
  <conditionalFormatting sqref="F5:F100">
    <cfRule type="expression" dxfId="5" priority="1">
      <formula>F5="PASS"</formula>
    </cfRule>
    <cfRule type="expression" dxfId="4" priority="2">
      <formula>F5="FAIL"</formula>
    </cfRule>
    <cfRule type="expression" dxfId="3" priority="3">
      <formula>F5="BLOCKED"</formula>
    </cfRule>
    <cfRule type="expression" dxfId="2" priority="4">
      <formula>F5="NOT TESTED"</formula>
    </cfRule>
  </conditionalFormatting>
  <dataValidations count="1">
    <dataValidation type="list" sqref="F5:F100" xr:uid="{00000000-0002-0000-0000-000000000000}">
      <formula1>"PASS,FAIL,BLOCKED,NOT TESTED"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RowHeight="13.5"/>
  <cols>
    <col min="1" max="1" width="10" customWidth="1"/>
    <col min="2" max="2" width="12" customWidth="1"/>
    <col min="3" max="3" width="22" customWidth="1"/>
    <col min="4" max="4" width="38" customWidth="1"/>
    <col min="5" max="5" width="36" customWidth="1"/>
    <col min="6" max="6" width="14" customWidth="1"/>
    <col min="7" max="7" width="16" customWidth="1"/>
    <col min="8" max="9" width="28" customWidth="1"/>
  </cols>
  <sheetData>
    <row r="1" spans="1:9" ht="20.65">
      <c r="A1" s="26" t="s">
        <v>74</v>
      </c>
      <c r="B1" s="26"/>
      <c r="C1" s="26"/>
      <c r="D1" s="26"/>
      <c r="E1" s="26"/>
      <c r="F1" s="26"/>
      <c r="G1" s="26"/>
      <c r="H1" s="26"/>
      <c r="I1" s="26"/>
    </row>
    <row r="3" spans="1:9" ht="13.9">
      <c r="A3" s="11" t="s">
        <v>75</v>
      </c>
      <c r="B3" s="11" t="s">
        <v>76</v>
      </c>
      <c r="C3" s="11" t="s">
        <v>77</v>
      </c>
      <c r="D3" s="11" t="s">
        <v>78</v>
      </c>
      <c r="E3" s="11" t="s">
        <v>79</v>
      </c>
      <c r="F3" s="11" t="s">
        <v>80</v>
      </c>
      <c r="G3" s="11" t="s">
        <v>81</v>
      </c>
      <c r="H3" s="11" t="s">
        <v>7</v>
      </c>
      <c r="I3" s="11" t="s">
        <v>8</v>
      </c>
    </row>
    <row r="4" spans="1:9">
      <c r="A4" s="1"/>
      <c r="B4" s="1"/>
      <c r="C4" s="1"/>
      <c r="D4" s="1"/>
      <c r="E4" s="1"/>
      <c r="F4" s="1"/>
      <c r="G4" s="1"/>
      <c r="H4" s="1"/>
      <c r="I4" s="1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/>
      <c r="B20" s="1"/>
      <c r="C20" s="1"/>
      <c r="D20" s="1"/>
      <c r="E20" s="1"/>
      <c r="F20" s="1"/>
      <c r="G20" s="1"/>
      <c r="H20" s="1"/>
      <c r="I20" s="1"/>
    </row>
    <row r="21" spans="1:9">
      <c r="A21" s="1"/>
      <c r="B21" s="1"/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</sheetData>
  <mergeCells count="1">
    <mergeCell ref="A1:I1"/>
  </mergeCells>
  <phoneticPr fontId="6" type="noConversion"/>
  <conditionalFormatting sqref="G4:G100">
    <cfRule type="expression" dxfId="1" priority="1">
      <formula>G4="OPEN"</formula>
    </cfRule>
    <cfRule type="expression" dxfId="0" priority="2">
      <formula>G4="CLOSED"</formula>
    </cfRule>
  </conditionalFormatting>
  <dataValidations count="2">
    <dataValidation type="list" sqref="F4:F100" xr:uid="{00000000-0002-0000-0100-000000000000}">
      <formula1>"LOW,MEDIUM,HIGH,CRITICAL"</formula1>
    </dataValidation>
    <dataValidation type="list" sqref="G4:G100" xr:uid="{00000000-0002-0000-0100-000001000000}">
      <formula1>"OPEN,IN PROGRESS,FIXED,RETEST,CLOSED"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3.5"/>
  <cols>
    <col min="1" max="4" width="24" customWidth="1"/>
    <col min="5" max="5" width="38" customWidth="1"/>
  </cols>
  <sheetData>
    <row r="1" spans="1:6" ht="20.65">
      <c r="A1" s="27" t="s">
        <v>82</v>
      </c>
      <c r="B1" s="27"/>
      <c r="C1" s="27"/>
      <c r="D1" s="27"/>
      <c r="E1" s="27"/>
      <c r="F1" s="27"/>
    </row>
    <row r="3" spans="1:6" ht="13.9">
      <c r="A3" s="13" t="s">
        <v>83</v>
      </c>
      <c r="B3" s="14" t="s">
        <v>84</v>
      </c>
      <c r="C3" s="15"/>
      <c r="D3" s="16" t="s">
        <v>85</v>
      </c>
      <c r="E3" s="17" t="s">
        <v>86</v>
      </c>
    </row>
    <row r="4" spans="1:6" ht="13.9">
      <c r="A4" s="18" t="s">
        <v>87</v>
      </c>
      <c r="B4">
        <f>COUNTIF('Test Cases'!A5:A100,"TC*")</f>
        <v>15</v>
      </c>
      <c r="D4" s="12" t="s">
        <v>88</v>
      </c>
      <c r="E4" s="19" t="s">
        <v>89</v>
      </c>
    </row>
    <row r="5" spans="1:6" ht="13.9">
      <c r="A5" s="18" t="s">
        <v>90</v>
      </c>
      <c r="B5">
        <f>COUNTIF('Test Cases'!F5:F100,"PASS")</f>
        <v>6</v>
      </c>
      <c r="D5" s="12" t="s">
        <v>91</v>
      </c>
      <c r="E5" s="19" t="s">
        <v>92</v>
      </c>
    </row>
    <row r="6" spans="1:6" ht="13.9">
      <c r="A6" s="18" t="s">
        <v>93</v>
      </c>
      <c r="B6">
        <f>COUNTIF('Test Cases'!F5:F100,"FAIL")</f>
        <v>0</v>
      </c>
      <c r="D6" s="12" t="s">
        <v>94</v>
      </c>
      <c r="E6" s="19" t="s">
        <v>95</v>
      </c>
    </row>
    <row r="7" spans="1:6" ht="13.9">
      <c r="A7" s="20" t="s">
        <v>96</v>
      </c>
      <c r="B7" s="21">
        <f>COUNTIF('Test Cases'!F5:F100,"BLOCKED")</f>
        <v>0</v>
      </c>
      <c r="C7" s="21"/>
      <c r="D7" s="22" t="s">
        <v>97</v>
      </c>
      <c r="E7" s="23" t="s">
        <v>98</v>
      </c>
    </row>
  </sheetData>
  <mergeCells count="1">
    <mergeCell ref="A1:F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Defect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皓轩 刘</cp:lastModifiedBy>
  <dcterms:modified xsi:type="dcterms:W3CDTF">2026-10-07T03:26:05Z</dcterms:modified>
</cp:coreProperties>
</file>