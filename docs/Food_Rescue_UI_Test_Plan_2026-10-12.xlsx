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e98e05d2a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 Test Plan" sheetId="1" r:id="Rd8e01f53f83149a6"/>
    <x:sheet xmlns:r="http://schemas.openxmlformats.org/officeDocument/2006/relationships" name="Run Guide" sheetId="2" r:id="R2d205d25d71a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746"/>
      <x:name val="Arial"/>
    </x:font>
    <x:font>
      <x:b/>
      <x:sz val="16"/>
      <x:color rgb="FF243746"/>
      <x:name val="Arial"/>
    </x:font>
    <x:font>
      <x:i/>
      <x:sz val="10"/>
      <x:color rgb="FF243746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F0F4F7"/>
      </x:patternFill>
    </x:fill>
    <x:fill>
      <x:patternFill patternType="solid">
        <x:fgColor rgb="FFFFF3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E6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23272300b498f" /><Relationship Type="http://schemas.openxmlformats.org/officeDocument/2006/relationships/theme" Target="/xl/theme/theme1.xml" Id="Rf6a8fa75f2dd4d29" /><Relationship Type="http://schemas.openxmlformats.org/officeDocument/2006/relationships/sharedStrings" Target="/xl/sharedStrings.xml" Id="Rc2b177f1365e42ca" /><Relationship Type="http://schemas.openxmlformats.org/officeDocument/2006/relationships/worksheet" Target="/xl/worksheets/sheet1.xml" Id="Rd8e01f53f83149a6" /><Relationship Type="http://schemas.openxmlformats.org/officeDocument/2006/relationships/worksheet" Target="/xl/worksheets/sheet2.xml" Id="R2d205d25d71a45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84B63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2" hidden="0" customWidth="1"/>
    <x:col min="5" max="5" width="18" hidden="0" customWidth="1"/>
    <x:col min="6" max="6" width="28" hidden="0" customWidth="1"/>
    <x:col min="7" max="7" width="38" hidden="0" customWidth="1"/>
    <x:col min="8" max="8" width="48" hidden="0" customWidth="1"/>
    <x:col min="9" max="9" width="57" hidden="0" customWidth="1"/>
    <x:col min="10" max="10" width="15" hidden="0" customWidth="1"/>
    <x:col min="11" max="11" width="38" hidden="0" customWidth="1"/>
    <x:col min="12" max="12" width="28" hidden="0" customWidth="1"/>
    <x:col min="13" max="13" width="16" hidden="0" customWidth="1"/>
    <x:col min="14" max="14" width="24" hidden="0" customWidth="1"/>
  </x:cols>
  <x:sheetData>
    <x:row r="2">
      <x:c r="A2" s="2" t="str">
        <x:v>Food Rescue UI Test Plan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Prepared by Haoxuan Liu. 12 October 2026. Planned cases, not execution evidence.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Total cases</x:v>
      </x:c>
      <x:c r="B5" s="1" t="n">
        <x:f>COUNTA(A9:A76)</x:f>
        <x:v>68</x:v>
      </x:c>
      <x:c r="C5" s="1" t="str">
        <x:v>Pass</x:v>
      </x:c>
      <x:c r="D5" s="1" t="n">
        <x:f>COUNTIFS(J9:J76,"Pass")</x:f>
        <x:v>0</x:v>
      </x:c>
      <x:c r="E5" s="1" t="str">
        <x:v>Fail</x:v>
      </x:c>
      <x:c r="F5" s="1" t="n">
        <x:f>COUNTIFS(J9:J76,"Fail")</x:f>
        <x:v>0</x:v>
      </x:c>
      <x:c r="G5" s="1" t="str">
        <x:v>Not Run</x:v>
      </x:c>
      <x:c r="H5" s="1" t="n">
        <x:f>COUNTIFS(J9:J76,"Not Run")</x:f>
        <x:v>68</x:v>
      </x:c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Fill amber result fields after testing. Use Blocked if the screen or environment is unavailable.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30" customHeight="1">
      <x:c r="A8" s="6" t="str">
        <x:v>ID</x:v>
      </x:c>
      <x:c r="B8" s="6" t="str">
        <x:v>Screen</x:v>
      </x:c>
      <x:c r="C8" s="6" t="str">
        <x:v>Role</x:v>
      </x:c>
      <x:c r="D8" s="6" t="str">
        <x:v>Priority</x:v>
      </x:c>
      <x:c r="E8" s="6" t="str">
        <x:v>Fix owner</x:v>
      </x:c>
      <x:c r="F8" s="6" t="str">
        <x:v>Test case</x:v>
      </x:c>
      <x:c r="G8" s="6" t="str">
        <x:v>Preconditions / data</x:v>
      </x:c>
      <x:c r="H8" s="6" t="str">
        <x:v>Steps</x:v>
      </x:c>
      <x:c r="I8" s="6" t="str">
        <x:v>Expected result</x:v>
      </x:c>
      <x:c r="J8" s="6" t="str">
        <x:v>Status</x:v>
      </x:c>
      <x:c r="K8" s="6" t="str">
        <x:v>Actual result</x:v>
      </x:c>
      <x:c r="L8" s="6" t="str">
        <x:v>Evidence path / link</x:v>
      </x:c>
      <x:c r="M8" s="6" t="str">
        <x:v>Defect ID</x:v>
      </x:c>
      <x:c r="N8" s="6" t="str">
        <x:v>Test date / build</x:v>
      </x:c>
    </x:row>
    <x:row r="9" ht="98" customHeight="1">
      <x:c r="A9" s="8" t="str">
        <x:v>UI-001</x:v>
      </x:c>
      <x:c r="B9" s="8" t="str">
        <x:v>Login</x:v>
      </x:c>
      <x:c r="C9" s="8" t="str">
        <x:v>All</x:v>
      </x:c>
      <x:c r="D9" s="8" t="str">
        <x:v>High</x:v>
      </x:c>
      <x:c r="E9" s="8" t="str">
        <x:v>Ree</x:v>
      </x:c>
      <x:c r="F9" s="8" t="str">
        <x:v>Donor login</x:v>
      </x:c>
      <x:c r="G9" s="8" t="str">
        <x:v>Backend running. Known donor, approved recipient and admin accounts exist.</x:v>
      </x:c>
      <x:c r="H9" s="8" t="str">
        <x:v>1. Open login. 2. Enter donor credentials. 3. Submit.</x:v>
      </x:c>
      <x:c r="I9" s="8" t="str">
        <x:v>Donor portal opens. Correct user ID and DONOR role are stored.</x:v>
      </x:c>
      <x:c r="J9" s="10" t="str">
        <x:v>Not Run</x:v>
      </x:c>
      <x:c r="K9" s="10" t="str"/>
      <x:c r="L9" s="10" t="str"/>
      <x:c r="M9" s="10" t="str"/>
      <x:c r="N9" s="10" t="str"/>
    </x:row>
    <x:row r="10" ht="98" customHeight="1">
      <x:c r="A10" s="9" t="str">
        <x:v>UI-002</x:v>
      </x:c>
      <x:c r="B10" s="9" t="str">
        <x:v>Login</x:v>
      </x:c>
      <x:c r="C10" s="9" t="str">
        <x:v>All</x:v>
      </x:c>
      <x:c r="D10" s="9" t="str">
        <x:v>High</x:v>
      </x:c>
      <x:c r="E10" s="9" t="str">
        <x:v>Ree</x:v>
      </x:c>
      <x:c r="F10" s="9" t="str">
        <x:v>Recipient login</x:v>
      </x:c>
      <x:c r="G10" s="9" t="str">
        <x:v>Backend running. Known donor, approved recipient and admin accounts exist.</x:v>
      </x:c>
      <x:c r="H10" s="9" t="str">
        <x:v>1. Enter approved recipient credentials. 2. Submit.</x:v>
      </x:c>
      <x:c r="I10" s="9" t="str">
        <x:v>Recipient portal opens with the correct organisation ID.</x:v>
      </x:c>
      <x:c r="J10" s="10" t="str">
        <x:v>Not Run</x:v>
      </x:c>
      <x:c r="K10" s="10" t="str"/>
      <x:c r="L10" s="10" t="str"/>
      <x:c r="M10" s="10" t="str"/>
      <x:c r="N10" s="10" t="str"/>
    </x:row>
    <x:row r="11" ht="98" customHeight="1">
      <x:c r="A11" s="8" t="str">
        <x:v>UI-003</x:v>
      </x:c>
      <x:c r="B11" s="8" t="str">
        <x:v>Login</x:v>
      </x:c>
      <x:c r="C11" s="8" t="str">
        <x:v>All</x:v>
      </x:c>
      <x:c r="D11" s="8" t="str">
        <x:v>High</x:v>
      </x:c>
      <x:c r="E11" s="8" t="str">
        <x:v>Ree</x:v>
      </x:c>
      <x:c r="F11" s="8" t="str">
        <x:v>Admin login</x:v>
      </x:c>
      <x:c r="G11" s="8" t="str">
        <x:v>Backend running. Known donor, approved recipient and admin accounts exist.</x:v>
      </x:c>
      <x:c r="H11" s="8" t="str">
        <x:v>1. Enter admin credentials. 2. Submit.</x:v>
      </x:c>
      <x:c r="I11" s="8" t="str">
        <x:v>Admin portal opens. Correct ADMIN role is returned.</x:v>
      </x:c>
      <x:c r="J11" s="10" t="str">
        <x:v>Not Run</x:v>
      </x:c>
      <x:c r="K11" s="10" t="str"/>
      <x:c r="L11" s="10" t="str"/>
      <x:c r="M11" s="10" t="str"/>
      <x:c r="N11" s="10" t="str"/>
    </x:row>
    <x:row r="12" ht="98" customHeight="1">
      <x:c r="A12" s="9" t="str">
        <x:v>UI-004</x:v>
      </x:c>
      <x:c r="B12" s="9" t="str">
        <x:v>Login</x:v>
      </x:c>
      <x:c r="C12" s="9" t="str">
        <x:v>All</x:v>
      </x:c>
      <x:c r="D12" s="9" t="str">
        <x:v>High</x:v>
      </x:c>
      <x:c r="E12" s="9" t="str">
        <x:v>Ree</x:v>
      </x:c>
      <x:c r="F12" s="9" t="str">
        <x:v>Incorrect password</x:v>
      </x:c>
      <x:c r="G12" s="9" t="str">
        <x:v>Backend running. Known donor, approved recipient and admin accounts exist.</x:v>
      </x:c>
      <x:c r="H12" s="9" t="str">
        <x:v>1. Enter a known email and wrong password. 2. Submit.</x:v>
      </x:c>
      <x:c r="I12" s="9" t="str">
        <x:v>Stay on login. Display API error: Invalid email or password.</x:v>
      </x:c>
      <x:c r="J12" s="10" t="str">
        <x:v>Not Run</x:v>
      </x:c>
      <x:c r="K12" s="10" t="str"/>
      <x:c r="L12" s="10" t="str"/>
      <x:c r="M12" s="10" t="str"/>
      <x:c r="N12" s="10" t="str"/>
    </x:row>
    <x:row r="13" ht="98" customHeight="1">
      <x:c r="A13" s="8" t="str">
        <x:v>UI-005</x:v>
      </x:c>
      <x:c r="B13" s="8" t="str">
        <x:v>Login</x:v>
      </x:c>
      <x:c r="C13" s="8" t="str">
        <x:v>All</x:v>
      </x:c>
      <x:c r="D13" s="8" t="str">
        <x:v>High</x:v>
      </x:c>
      <x:c r="E13" s="8" t="str">
        <x:v>Ree</x:v>
      </x:c>
      <x:c r="F13" s="8" t="str">
        <x:v>Unknown email</x:v>
      </x:c>
      <x:c r="G13" s="8" t="str">
        <x:v>Backend running. Known donor, approved recipient and admin accounts exist.</x:v>
      </x:c>
      <x:c r="H13" s="8" t="str">
        <x:v>1. Enter an unregistered email and any password. 2. Submit.</x:v>
      </x:c>
      <x:c r="I13" s="8" t="str">
        <x:v>Stay on login. Display Invalid email or password.</x:v>
      </x:c>
      <x:c r="J13" s="10" t="str">
        <x:v>Not Run</x:v>
      </x:c>
      <x:c r="K13" s="10" t="str"/>
      <x:c r="L13" s="10" t="str"/>
      <x:c r="M13" s="10" t="str"/>
      <x:c r="N13" s="10" t="str"/>
    </x:row>
    <x:row r="14" ht="98" customHeight="1">
      <x:c r="A14" s="9" t="str">
        <x:v>UI-006</x:v>
      </x:c>
      <x:c r="B14" s="9" t="str">
        <x:v>Login</x:v>
      </x:c>
      <x:c r="C14" s="9" t="str">
        <x:v>All</x:v>
      </x:c>
      <x:c r="D14" s="9" t="str">
        <x:v>High</x:v>
      </x:c>
      <x:c r="E14" s="9" t="str">
        <x:v>Ree</x:v>
      </x:c>
      <x:c r="F14" s="9" t="str">
        <x:v>Empty credentials</x:v>
      </x:c>
      <x:c r="G14" s="9" t="str">
        <x:v>Backend running. Known donor, approved recipient and admin accounts exist.</x:v>
      </x:c>
      <x:c r="H14" s="9" t="str">
        <x:v>1. Leave both fields blank. 2. Submit.</x:v>
      </x:c>
      <x:c r="I14" s="9" t="str">
        <x:v>Required-field feedback appears. No authenticated session is created.</x:v>
      </x:c>
      <x:c r="J14" s="10" t="str">
        <x:v>Not Run</x:v>
      </x:c>
      <x:c r="K14" s="10" t="str"/>
      <x:c r="L14" s="10" t="str"/>
      <x:c r="M14" s="10" t="str"/>
      <x:c r="N14" s="10" t="str"/>
    </x:row>
    <x:row r="15" ht="98" customHeight="1">
      <x:c r="A15" s="8" t="str">
        <x:v>UI-007</x:v>
      </x:c>
      <x:c r="B15" s="8" t="str">
        <x:v>Login</x:v>
      </x:c>
      <x:c r="C15" s="8" t="str">
        <x:v>All</x:v>
      </x:c>
      <x:c r="D15" s="8" t="str">
        <x:v>High</x:v>
      </x:c>
      <x:c r="E15" s="8" t="str">
        <x:v>Ree</x:v>
      </x:c>
      <x:c r="F15" s="8" t="str">
        <x:v>Logout</x:v>
      </x:c>
      <x:c r="G15" s="8" t="str">
        <x:v>Backend running. Known donor, approved recipient and admin accounts exist.</x:v>
      </x:c>
      <x:c r="H15" s="8" t="str">
        <x:v>1. Log in. 2. Click logout. 3. Try opening a role page.</x:v>
      </x:c>
      <x:c r="I15" s="8" t="str">
        <x:v>Stored user is cleared. Login is required again.</x:v>
      </x:c>
      <x:c r="J15" s="10" t="str">
        <x:v>Not Run</x:v>
      </x:c>
      <x:c r="K15" s="10" t="str"/>
      <x:c r="L15" s="10" t="str"/>
      <x:c r="M15" s="10" t="str"/>
      <x:c r="N15" s="10" t="str"/>
    </x:row>
    <x:row r="16" ht="98" customHeight="1">
      <x:c r="A16" s="9" t="str">
        <x:v>UI-008</x:v>
      </x:c>
      <x:c r="B16" s="9" t="str">
        <x:v>Login</x:v>
      </x:c>
      <x:c r="C16" s="9" t="str">
        <x:v>All</x:v>
      </x:c>
      <x:c r="D16" s="9" t="str">
        <x:v>High</x:v>
      </x:c>
      <x:c r="E16" s="9" t="str">
        <x:v>Ree</x:v>
      </x:c>
      <x:c r="F16" s="9" t="str">
        <x:v>Role route protection</x:v>
      </x:c>
      <x:c r="G16" s="9" t="str">
        <x:v>Backend running. Known donor, approved recipient and admin accounts exist.</x:v>
      </x:c>
      <x:c r="H16" s="9" t="str">
        <x:v>1. Log in as donor. 2. Navigate directly to recipient and admin URLs.</x:v>
      </x:c>
      <x:c r="I16" s="9" t="str">
        <x:v>Frontend prevents access to the other role views. This does not prove backend authorisation.</x:v>
      </x:c>
      <x:c r="J16" s="10" t="str">
        <x:v>Not Run</x:v>
      </x:c>
      <x:c r="K16" s="10" t="str"/>
      <x:c r="L16" s="10" t="str"/>
      <x:c r="M16" s="10" t="str"/>
      <x:c r="N16" s="10" t="str"/>
    </x:row>
    <x:row r="17" ht="98" customHeight="1">
      <x:c r="A17" s="8" t="str">
        <x:v>UI-009</x:v>
      </x:c>
      <x:c r="B17" s="8" t="str">
        <x:v>Login</x:v>
      </x:c>
      <x:c r="C17" s="8" t="str">
        <x:v>All</x:v>
      </x:c>
      <x:c r="D17" s="8" t="str">
        <x:v>Medium</x:v>
      </x:c>
      <x:c r="E17" s="8" t="str">
        <x:v>Ree</x:v>
      </x:c>
      <x:c r="F17" s="8" t="str">
        <x:v>Email spaces and case</x:v>
      </x:c>
      <x:c r="G17" s="8" t="str">
        <x:v>Backend running. Known donor, approved recipient and admin accounts exist.</x:v>
      </x:c>
      <x:c r="H17" s="8" t="str">
        <x:v>1. Try the same email with spaces. 2. Try altered case.</x:v>
      </x:c>
      <x:c r="I17" s="8" t="str">
        <x:v>Record behaviour and API response. UI shows any API error. Normalisation rule needs team confirmation.</x:v>
      </x:c>
      <x:c r="J17" s="10" t="str">
        <x:v>Not Run</x:v>
      </x:c>
      <x:c r="K17" s="10" t="str"/>
      <x:c r="L17" s="10" t="str"/>
      <x:c r="M17" s="10" t="str"/>
      <x:c r="N17" s="10" t="str"/>
    </x:row>
    <x:row r="18" ht="98" customHeight="1">
      <x:c r="A18" s="9" t="str">
        <x:v>UI-010</x:v>
      </x:c>
      <x:c r="B18" s="9" t="str">
        <x:v>Register</x:v>
      </x:c>
      <x:c r="C18" s="9" t="str">
        <x:v>Public</x:v>
      </x:c>
      <x:c r="D18" s="9" t="str">
        <x:v>High</x:v>
      </x:c>
      <x:c r="E18" s="9" t="str">
        <x:v>Ree</x:v>
      </x:c>
      <x:c r="F18" s="9" t="str">
        <x:v>Register donor</x:v>
      </x:c>
      <x:c r="G18" s="9" t="str">
        <x:v>Use unique test emails. Do not reuse emails from an earlier run.</x:v>
      </x:c>
      <x:c r="H18" s="9" t="str">
        <x:v>1. Choose Donor. 2. Fill valid required fields. 3. Submit. 4. Log in.</x:v>
      </x:c>
      <x:c r="I18" s="9" t="str">
        <x:v>One DONOR user is created and can log in.</x:v>
      </x:c>
      <x:c r="J18" s="10" t="str">
        <x:v>Not Run</x:v>
      </x:c>
      <x:c r="K18" s="10" t="str"/>
      <x:c r="L18" s="10" t="str"/>
      <x:c r="M18" s="10" t="str"/>
      <x:c r="N18" s="10" t="str"/>
    </x:row>
    <x:row r="19" ht="98" customHeight="1">
      <x:c r="A19" s="8" t="str">
        <x:v>UI-011</x:v>
      </x:c>
      <x:c r="B19" s="8" t="str">
        <x:v>Register</x:v>
      </x:c>
      <x:c r="C19" s="8" t="str">
        <x:v>Public</x:v>
      </x:c>
      <x:c r="D19" s="8" t="str">
        <x:v>High</x:v>
      </x:c>
      <x:c r="E19" s="8" t="str">
        <x:v>Ree</x:v>
      </x:c>
      <x:c r="F19" s="8" t="str">
        <x:v>Register recipient</x:v>
      </x:c>
      <x:c r="G19" s="8" t="str">
        <x:v>Use unique test emails. Do not reuse emails from an earlier run.</x:v>
      </x:c>
      <x:c r="H19" s="8" t="str">
        <x:v>1. Choose Recipient organisation. 2. Fill required fields. 3. Submit.</x:v>
      </x:c>
      <x:c r="I19" s="8" t="str">
        <x:v>One RECIPIENT_ORG user is created with PENDING verification.</x:v>
      </x:c>
      <x:c r="J19" s="10" t="str">
        <x:v>Not Run</x:v>
      </x:c>
      <x:c r="K19" s="10" t="str"/>
      <x:c r="L19" s="10" t="str"/>
      <x:c r="M19" s="10" t="str"/>
      <x:c r="N19" s="10" t="str"/>
    </x:row>
    <x:row r="20" ht="98" customHeight="1">
      <x:c r="A20" s="9" t="str">
        <x:v>UI-012</x:v>
      </x:c>
      <x:c r="B20" s="9" t="str">
        <x:v>Register</x:v>
      </x:c>
      <x:c r="C20" s="9" t="str">
        <x:v>Public</x:v>
      </x:c>
      <x:c r="D20" s="9" t="str">
        <x:v>High</x:v>
      </x:c>
      <x:c r="E20" s="9" t="str">
        <x:v>Ree</x:v>
      </x:c>
      <x:c r="F20" s="9" t="str">
        <x:v>Duplicate email</x:v>
      </x:c>
      <x:c r="G20" s="9" t="str">
        <x:v>Use unique test emails. Do not reuse emails from an earlier run.</x:v>
      </x:c>
      <x:c r="H20" s="9" t="str">
        <x:v>1. Register using an existing email. 2. Submit.</x:v>
      </x:c>
      <x:c r="I20" s="9" t="str">
        <x:v>No second user is created. API error is shown.</x:v>
      </x:c>
      <x:c r="J20" s="10" t="str">
        <x:v>Not Run</x:v>
      </x:c>
      <x:c r="K20" s="10" t="str"/>
      <x:c r="L20" s="10" t="str"/>
      <x:c r="M20" s="10" t="str"/>
      <x:c r="N20" s="10" t="str"/>
    </x:row>
    <x:row r="21" ht="98" customHeight="1">
      <x:c r="A21" s="8" t="str">
        <x:v>UI-013</x:v>
      </x:c>
      <x:c r="B21" s="8" t="str">
        <x:v>Register</x:v>
      </x:c>
      <x:c r="C21" s="8" t="str">
        <x:v>Public</x:v>
      </x:c>
      <x:c r="D21" s="8" t="str">
        <x:v>High</x:v>
      </x:c>
      <x:c r="E21" s="8" t="str">
        <x:v>Ree</x:v>
      </x:c>
      <x:c r="F21" s="8" t="str">
        <x:v>Missing required fields</x:v>
      </x:c>
      <x:c r="G21" s="8" t="str">
        <x:v>Use unique test emails. Do not reuse emails from an earlier run.</x:v>
      </x:c>
      <x:c r="H21" s="8" t="str">
        <x:v>1. Leave each required field empty in turn. 2. Submit.</x:v>
      </x:c>
      <x:c r="I21" s="8" t="str">
        <x:v>Field validation prevents incomplete registration or displays API validation error.</x:v>
      </x:c>
      <x:c r="J21" s="10" t="str">
        <x:v>Not Run</x:v>
      </x:c>
      <x:c r="K21" s="10" t="str"/>
      <x:c r="L21" s="10" t="str"/>
      <x:c r="M21" s="10" t="str"/>
      <x:c r="N21" s="10" t="str"/>
    </x:row>
    <x:row r="22" ht="98" customHeight="1">
      <x:c r="A22" s="9" t="str">
        <x:v>UI-014</x:v>
      </x:c>
      <x:c r="B22" s="9" t="str">
        <x:v>Register</x:v>
      </x:c>
      <x:c r="C22" s="9" t="str">
        <x:v>Public</x:v>
      </x:c>
      <x:c r="D22" s="9" t="str">
        <x:v>High</x:v>
      </x:c>
      <x:c r="E22" s="9" t="str">
        <x:v>Ree</x:v>
      </x:c>
      <x:c r="F22" s="9" t="str">
        <x:v>Invalid email</x:v>
      </x:c>
      <x:c r="G22" s="9" t="str">
        <x:v>Use unique test emails. Do not reuse emails from an earlier run.</x:v>
      </x:c>
      <x:c r="H22" s="9" t="str">
        <x:v>1. Enter an invalid email format. 2. Submit.</x:v>
      </x:c>
      <x:c r="I22" s="9" t="str">
        <x:v>Record validation behaviour. Invalid email should be rejected by the UI; capture any backend acceptance as a known gap.</x:v>
      </x:c>
      <x:c r="J22" s="10" t="str">
        <x:v>Not Run</x:v>
      </x:c>
      <x:c r="K22" s="10" t="str"/>
      <x:c r="L22" s="10" t="str"/>
      <x:c r="M22" s="10" t="str"/>
      <x:c r="N22" s="10" t="str"/>
    </x:row>
    <x:row r="23" ht="98" customHeight="1">
      <x:c r="A23" s="8" t="str">
        <x:v>UI-015</x:v>
      </x:c>
      <x:c r="B23" s="8" t="str">
        <x:v>Register</x:v>
      </x:c>
      <x:c r="C23" s="8" t="str">
        <x:v>Public</x:v>
      </x:c>
      <x:c r="D23" s="8" t="str">
        <x:v>High</x:v>
      </x:c>
      <x:c r="E23" s="8" t="str">
        <x:v>Ree</x:v>
      </x:c>
      <x:c r="F23" s="8" t="str">
        <x:v>Public roles only</x:v>
      </x:c>
      <x:c r="G23" s="8" t="str">
        <x:v>Use unique test emails. Do not reuse emails from an earlier run.</x:v>
      </x:c>
      <x:c r="H23" s="8" t="str">
        <x:v>1. Inspect the role selector. 2. Register through the normal UI.</x:v>
      </x:c>
      <x:c r="I23" s="8" t="str">
        <x:v>Only Donor and Recipient organisation are offered. ADMIN is never a public option.</x:v>
      </x:c>
      <x:c r="J23" s="10" t="str">
        <x:v>Not Run</x:v>
      </x:c>
      <x:c r="K23" s="10" t="str"/>
      <x:c r="L23" s="10" t="str"/>
      <x:c r="M23" s="10" t="str"/>
      <x:c r="N23" s="10" t="str"/>
    </x:row>
    <x:row r="24" ht="98" customHeight="1">
      <x:c r="A24" s="9" t="str">
        <x:v>UI-016</x:v>
      </x:c>
      <x:c r="B24" s="9" t="str">
        <x:v>Post donation</x:v>
      </x:c>
      <x:c r="C24" s="9" t="str">
        <x:v>Donor</x:v>
      </x:c>
      <x:c r="D24" s="9" t="str">
        <x:v>High</x:v>
      </x:c>
      <x:c r="E24" s="9" t="str">
        <x:v>Yeyun</x:v>
      </x:c>
      <x:c r="F24" s="9" t="str">
        <x:v>Valid donation</x:v>
      </x:c>
      <x:c r="G24" s="9" t="str">
        <x:v>Logged-in donor. Capture returned IDs. Use future collection deadlines.</x:v>
      </x:c>
      <x:c r="H24" s="9" t="str">
        <x:v>1. Enter title, category, positive quantity and required details. 2. Submit. 3. Open donor list.</x:v>
      </x:c>
      <x:c r="I24" s="9" t="str">
        <x:v>201 creates one AVAILABLE donation. It belongs to the logged-in donor and appears in their list.</x:v>
      </x:c>
      <x:c r="J24" s="10" t="str">
        <x:v>Not Run</x:v>
      </x:c>
      <x:c r="K24" s="10" t="str"/>
      <x:c r="L24" s="10" t="str"/>
      <x:c r="M24" s="10" t="str"/>
      <x:c r="N24" s="10" t="str"/>
    </x:row>
    <x:row r="25" ht="98" customHeight="1">
      <x:c r="A25" s="8" t="str">
        <x:v>UI-017</x:v>
      </x:c>
      <x:c r="B25" s="8" t="str">
        <x:v>Post donation</x:v>
      </x:c>
      <x:c r="C25" s="8" t="str">
        <x:v>Donor</x:v>
      </x:c>
      <x:c r="D25" s="8" t="str">
        <x:v>High</x:v>
      </x:c>
      <x:c r="E25" s="8" t="str">
        <x:v>Yeyun</x:v>
      </x:c>
      <x:c r="F25" s="8" t="str">
        <x:v>Missing required field</x:v>
      </x:c>
      <x:c r="G25" s="8" t="str">
        <x:v>Logged-in donor. Capture returned IDs. Use future collection deadlines.</x:v>
      </x:c>
      <x:c r="H25" s="8" t="str">
        <x:v>1. Omit each required field in turn. 2. Submit.</x:v>
      </x:c>
      <x:c r="I25" s="8" t="str">
        <x:v>Clear validation feedback. No incomplete donation is created.</x:v>
      </x:c>
      <x:c r="J25" s="10" t="str">
        <x:v>Not Run</x:v>
      </x:c>
      <x:c r="K25" s="10" t="str"/>
      <x:c r="L25" s="10" t="str"/>
      <x:c r="M25" s="10" t="str"/>
      <x:c r="N25" s="10" t="str"/>
    </x:row>
    <x:row r="26" ht="98" customHeight="1">
      <x:c r="A26" s="9" t="str">
        <x:v>UI-018</x:v>
      </x:c>
      <x:c r="B26" s="9" t="str">
        <x:v>Post donation</x:v>
      </x:c>
      <x:c r="C26" s="9" t="str">
        <x:v>Donor</x:v>
      </x:c>
      <x:c r="D26" s="9" t="str">
        <x:v>High</x:v>
      </x:c>
      <x:c r="E26" s="9" t="str">
        <x:v>Yeyun</x:v>
      </x:c>
      <x:c r="F26" s="9" t="str">
        <x:v>Zero quantity</x:v>
      </x:c>
      <x:c r="G26" s="9" t="str">
        <x:v>Logged-in donor. Capture returned IDs. Use future collection deadlines.</x:v>
      </x:c>
      <x:c r="H26" s="9" t="str">
        <x:v>1. Enter quantity 0. 2. Submit.</x:v>
      </x:c>
      <x:c r="I26" s="9" t="str">
        <x:v>UI validation or API 400 prevents creation. API error is visible.</x:v>
      </x:c>
      <x:c r="J26" s="10" t="str">
        <x:v>Not Run</x:v>
      </x:c>
      <x:c r="K26" s="10" t="str"/>
      <x:c r="L26" s="10" t="str"/>
      <x:c r="M26" s="10" t="str"/>
      <x:c r="N26" s="10" t="str"/>
    </x:row>
    <x:row r="27" ht="98" customHeight="1">
      <x:c r="A27" s="8" t="str">
        <x:v>UI-019</x:v>
      </x:c>
      <x:c r="B27" s="8" t="str">
        <x:v>Post donation</x:v>
      </x:c>
      <x:c r="C27" s="8" t="str">
        <x:v>Donor</x:v>
      </x:c>
      <x:c r="D27" s="8" t="str">
        <x:v>High</x:v>
      </x:c>
      <x:c r="E27" s="8" t="str">
        <x:v>Yeyun</x:v>
      </x:c>
      <x:c r="F27" s="8" t="str">
        <x:v>Negative quantity</x:v>
      </x:c>
      <x:c r="G27" s="8" t="str">
        <x:v>Logged-in donor. Capture returned IDs. Use future collection deadlines.</x:v>
      </x:c>
      <x:c r="H27" s="8" t="str">
        <x:v>1. Enter quantity -1. 2. Submit.</x:v>
      </x:c>
      <x:c r="I27" s="8" t="str">
        <x:v>UI validation or API 400 prevents creation.</x:v>
      </x:c>
      <x:c r="J27" s="10" t="str">
        <x:v>Not Run</x:v>
      </x:c>
      <x:c r="K27" s="10" t="str"/>
      <x:c r="L27" s="10" t="str"/>
      <x:c r="M27" s="10" t="str"/>
      <x:c r="N27" s="10" t="str"/>
    </x:row>
    <x:row r="28" ht="98" customHeight="1">
      <x:c r="A28" s="9" t="str">
        <x:v>UI-020</x:v>
      </x:c>
      <x:c r="B28" s="9" t="str">
        <x:v>Post donation</x:v>
      </x:c>
      <x:c r="C28" s="9" t="str">
        <x:v>Donor</x:v>
      </x:c>
      <x:c r="D28" s="9" t="str">
        <x:v>High</x:v>
      </x:c>
      <x:c r="E28" s="9" t="str">
        <x:v>Yeyun</x:v>
      </x:c>
      <x:c r="F28" s="9" t="str">
        <x:v>Category values</x:v>
      </x:c>
      <x:c r="G28" s="9" t="str">
        <x:v>Logged-in donor. Capture returned IDs. Use future collection deadlines.</x:v>
      </x:c>
      <x:c r="H28" s="9" t="str">
        <x:v>1. Open category selector. 2. Select a category. 3. Submit.</x:v>
      </x:c>
      <x:c r="I28" s="9" t="str">
        <x:v>Options map to the API category enums listed in Run Guide.</x:v>
      </x:c>
      <x:c r="J28" s="10" t="str">
        <x:v>Not Run</x:v>
      </x:c>
      <x:c r="K28" s="10" t="str"/>
      <x:c r="L28" s="10" t="str"/>
      <x:c r="M28" s="10" t="str"/>
      <x:c r="N28" s="10" t="str"/>
    </x:row>
    <x:row r="29" ht="98" customHeight="1">
      <x:c r="A29" s="8" t="str">
        <x:v>UI-021</x:v>
      </x:c>
      <x:c r="B29" s="8" t="str">
        <x:v>Post donation</x:v>
      </x:c>
      <x:c r="C29" s="8" t="str">
        <x:v>Donor</x:v>
      </x:c>
      <x:c r="D29" s="8" t="str">
        <x:v>High</x:v>
      </x:c>
      <x:c r="E29" s="8" t="str">
        <x:v>Yeyun</x:v>
      </x:c>
      <x:c r="F29" s="8" t="str">
        <x:v>Collection time conversion</x:v>
      </x:c>
      <x:c r="G29" s="8" t="str">
        <x:v>Logged-in donor. Capture returned IDs. Use future collection deadlines.</x:v>
      </x:c>
      <x:c r="H29" s="8" t="str">
        <x:v>1. Enter a local pickup deadline. 2. Submit. 3. Compare request and displayed time.</x:v>
      </x:c>
      <x:c r="I29" s="8" t="str">
        <x:v>ISO-8601 instant represents the intended Adelaide time. Display does not shift the deadline unexpectedly.</x:v>
      </x:c>
      <x:c r="J29" s="10" t="str">
        <x:v>Not Run</x:v>
      </x:c>
      <x:c r="K29" s="10" t="str"/>
      <x:c r="L29" s="10" t="str"/>
      <x:c r="M29" s="10" t="str"/>
      <x:c r="N29" s="10" t="str"/>
    </x:row>
    <x:row r="30" ht="98" customHeight="1">
      <x:c r="A30" s="9" t="str">
        <x:v>UI-022</x:v>
      </x:c>
      <x:c r="B30" s="9" t="str">
        <x:v>Post donation</x:v>
      </x:c>
      <x:c r="C30" s="9" t="str">
        <x:v>Donor</x:v>
      </x:c>
      <x:c r="D30" s="9" t="str">
        <x:v>High</x:v>
      </x:c>
      <x:c r="E30" s="9" t="str">
        <x:v>Yeyun</x:v>
      </x:c>
      <x:c r="F30" s="9" t="str">
        <x:v>Donor identity</x:v>
      </x:c>
      <x:c r="G30" s="9" t="str">
        <x:v>Logged-in donor. Capture returned IDs. Use future collection deadlines.</x:v>
      </x:c>
      <x:c r="H30" s="9" t="str">
        <x:v>1. Log in as donor B. 2. Post a donation. 3. Inspect request and lists.</x:v>
      </x:c>
      <x:c r="I30" s="9" t="str">
        <x:v>Request uses donor B ID rather than hard-coded donorId=1.</x:v>
      </x:c>
      <x:c r="J30" s="10" t="str">
        <x:v>Not Run</x:v>
      </x:c>
      <x:c r="K30" s="10" t="str"/>
      <x:c r="L30" s="10" t="str"/>
      <x:c r="M30" s="10" t="str"/>
      <x:c r="N30" s="10" t="str"/>
    </x:row>
    <x:row r="31" ht="98" customHeight="1">
      <x:c r="A31" s="8" t="str">
        <x:v>UI-023</x:v>
      </x:c>
      <x:c r="B31" s="8" t="str">
        <x:v>Post donation</x:v>
      </x:c>
      <x:c r="C31" s="8" t="str">
        <x:v>Donor</x:v>
      </x:c>
      <x:c r="D31" s="8" t="str">
        <x:v>Medium</x:v>
      </x:c>
      <x:c r="E31" s="8" t="str">
        <x:v>Yeyun</x:v>
      </x:c>
      <x:c r="F31" s="8" t="str">
        <x:v>Repeated submit</x:v>
      </x:c>
      <x:c r="G31" s="8" t="str">
        <x:v>Logged-in donor. Capture returned IDs. Use future collection deadlines.</x:v>
      </x:c>
      <x:c r="H31" s="8" t="str">
        <x:v>1. Fill valid data. 2. Double-click Submit rapidly.</x:v>
      </x:c>
      <x:c r="I31" s="8" t="str">
        <x:v>One donation is created. Button/loading state prevents duplicate requests.</x:v>
      </x:c>
      <x:c r="J31" s="10" t="str">
        <x:v>Not Run</x:v>
      </x:c>
      <x:c r="K31" s="10" t="str"/>
      <x:c r="L31" s="10" t="str"/>
      <x:c r="M31" s="10" t="str"/>
      <x:c r="N31" s="10" t="str"/>
    </x:row>
    <x:row r="32" ht="98" customHeight="1">
      <x:c r="A32" s="9" t="str">
        <x:v>UI-024</x:v>
      </x:c>
      <x:c r="B32" s="9" t="str">
        <x:v>Donor list and stats</x:v>
      </x:c>
      <x:c r="C32" s="9" t="str">
        <x:v>Donor</x:v>
      </x:c>
      <x:c r="D32" s="9" t="str">
        <x:v>High</x:v>
      </x:c>
      <x:c r="E32" s="9" t="str">
        <x:v>Yeyun</x:v>
      </x:c>
      <x:c r="F32" s="9" t="str">
        <x:v>Own donation list</x:v>
      </x:c>
      <x:c r="G32" s="9" t="str">
        <x:v>Donor has AVAILABLE, RESERVED and COLLECTED donations.</x:v>
      </x:c>
      <x:c r="H32" s="9" t="str">
        <x:v>1. Open donor donations. 2. Compare with donor API list.</x:v>
      </x:c>
      <x:c r="I32" s="9" t="str">
        <x:v>Only the logged-in donor list is displayed, with dates and correct statuses.</x:v>
      </x:c>
      <x:c r="J32" s="10" t="str">
        <x:v>Not Run</x:v>
      </x:c>
      <x:c r="K32" s="10" t="str"/>
      <x:c r="L32" s="10" t="str"/>
      <x:c r="M32" s="10" t="str"/>
      <x:c r="N32" s="10" t="str"/>
    </x:row>
    <x:row r="33" ht="98" customHeight="1">
      <x:c r="A33" s="8" t="str">
        <x:v>UI-025</x:v>
      </x:c>
      <x:c r="B33" s="8" t="str">
        <x:v>Donor list and stats</x:v>
      </x:c>
      <x:c r="C33" s="8" t="str">
        <x:v>Donor</x:v>
      </x:c>
      <x:c r="D33" s="8" t="str">
        <x:v>High</x:v>
      </x:c>
      <x:c r="E33" s="8" t="str">
        <x:v>Yeyun</x:v>
      </x:c>
      <x:c r="F33" s="8" t="str">
        <x:v>Cancel available donation</x:v>
      </x:c>
      <x:c r="G33" s="8" t="str">
        <x:v>Donor has AVAILABLE, RESERVED and COLLECTED donations.</x:v>
      </x:c>
      <x:c r="H33" s="8" t="str">
        <x:v>1. Select an AVAILABLE item. 2. Cancel it. 3. Refresh.</x:v>
      </x:c>
      <x:c r="I33" s="8" t="str">
        <x:v>Cancellation succeeds. The item is no longer available to reserve.</x:v>
      </x:c>
      <x:c r="J33" s="10" t="str">
        <x:v>Not Run</x:v>
      </x:c>
      <x:c r="K33" s="10" t="str"/>
      <x:c r="L33" s="10" t="str"/>
      <x:c r="M33" s="10" t="str"/>
      <x:c r="N33" s="10" t="str"/>
    </x:row>
    <x:row r="34" ht="98" customHeight="1">
      <x:c r="A34" s="9" t="str">
        <x:v>UI-026</x:v>
      </x:c>
      <x:c r="B34" s="9" t="str">
        <x:v>Donor list and stats</x:v>
      </x:c>
      <x:c r="C34" s="9" t="str">
        <x:v>Donor</x:v>
      </x:c>
      <x:c r="D34" s="9" t="str">
        <x:v>High</x:v>
      </x:c>
      <x:c r="E34" s="9" t="str">
        <x:v>Yeyun</x:v>
      </x:c>
      <x:c r="F34" s="9" t="str">
        <x:v>Cancel restrictions</x:v>
      </x:c>
      <x:c r="G34" s="9" t="str">
        <x:v>Donor has AVAILABLE, RESERVED and COLLECTED donations.</x:v>
      </x:c>
      <x:c r="H34" s="9" t="str">
        <x:v>1. Inspect RESERVED and COLLECTED items.</x:v>
      </x:c>
      <x:c r="I34" s="9" t="str">
        <x:v>Cancel action is offered only for AVAILABLE items.</x:v>
      </x:c>
      <x:c r="J34" s="10" t="str">
        <x:v>Not Run</x:v>
      </x:c>
      <x:c r="K34" s="10" t="str"/>
      <x:c r="L34" s="10" t="str"/>
      <x:c r="M34" s="10" t="str"/>
      <x:c r="N34" s="10" t="str"/>
    </x:row>
    <x:row r="35" ht="98" customHeight="1">
      <x:c r="A35" s="8" t="str">
        <x:v>UI-027</x:v>
      </x:c>
      <x:c r="B35" s="8" t="str">
        <x:v>Donor list and stats</x:v>
      </x:c>
      <x:c r="C35" s="8" t="str">
        <x:v>Donor</x:v>
      </x:c>
      <x:c r="D35" s="8" t="str">
        <x:v>Medium</x:v>
      </x:c>
      <x:c r="E35" s="8" t="str">
        <x:v>Yeyun</x:v>
      </x:c>
      <x:c r="F35" s="8" t="str">
        <x:v>Donor stat cards</x:v>
      </x:c>
      <x:c r="G35" s="8" t="str">
        <x:v>Donor has AVAILABLE, RESERVED and COLLECTED donations.</x:v>
      </x:c>
      <x:c r="H35" s="8" t="str">
        <x:v>1. Open stat cards. 2. Compare with user stats API.</x:v>
      </x:c>
      <x:c r="I35" s="8" t="str">
        <x:v>Counts match the donor response. If this optional feature is cut, record N/A with reason.</x:v>
      </x:c>
      <x:c r="J35" s="10" t="str">
        <x:v>Not Run</x:v>
      </x:c>
      <x:c r="K35" s="10" t="str"/>
      <x:c r="L35" s="10" t="str"/>
      <x:c r="M35" s="10" t="str"/>
      <x:c r="N35" s="10" t="str"/>
    </x:row>
    <x:row r="36" ht="98" customHeight="1">
      <x:c r="A36" s="9" t="str">
        <x:v>UI-028</x:v>
      </x:c>
      <x:c r="B36" s="9" t="str">
        <x:v>Browse donations</x:v>
      </x:c>
      <x:c r="C36" s="9" t="str">
        <x:v>Recipient</x:v>
      </x:c>
      <x:c r="D36" s="9" t="str">
        <x:v>High</x:v>
      </x:c>
      <x:c r="E36" s="9" t="str">
        <x:v>Ree</x:v>
      </x:c>
      <x:c r="F36" s="9" t="str">
        <x:v>Available list</x:v>
      </x:c>
      <x:c r="G36" s="9" t="str">
        <x:v>Approved recipient logged in. Available, reserved and expired donations exist.</x:v>
      </x:c>
      <x:c r="H36" s="9" t="str">
        <x:v>1. Open Browse. 2. Compare with available API list.</x:v>
      </x:c>
      <x:c r="I36" s="9" t="str">
        <x:v>Displays AVAILABLE items. RESERVED, COLLECTED and EXPIRED items are excluded.</x:v>
      </x:c>
      <x:c r="J36" s="10" t="str">
        <x:v>Not Run</x:v>
      </x:c>
      <x:c r="K36" s="10" t="str"/>
      <x:c r="L36" s="10" t="str"/>
      <x:c r="M36" s="10" t="str"/>
      <x:c r="N36" s="10" t="str"/>
    </x:row>
    <x:row r="37" ht="98" customHeight="1">
      <x:c r="A37" s="8" t="str">
        <x:v>UI-029</x:v>
      </x:c>
      <x:c r="B37" s="8" t="str">
        <x:v>Browse donations</x:v>
      </x:c>
      <x:c r="C37" s="8" t="str">
        <x:v>Recipient</x:v>
      </x:c>
      <x:c r="D37" s="8" t="str">
        <x:v>Medium</x:v>
      </x:c>
      <x:c r="E37" s="8" t="str">
        <x:v>Ree</x:v>
      </x:c>
      <x:c r="F37" s="8" t="str">
        <x:v>Category filter</x:v>
      </x:c>
      <x:c r="G37" s="8" t="str">
        <x:v>Approved recipient logged in. Available, reserved and expired donations exist.</x:v>
      </x:c>
      <x:c r="H37" s="8" t="str">
        <x:v>1. Select a category. 2. Clear filter.</x:v>
      </x:c>
      <x:c r="I37" s="8" t="str">
        <x:v>Selected category matches displayed items. Clear restores all available items. If cut, record N/A.</x:v>
      </x:c>
      <x:c r="J37" s="10" t="str">
        <x:v>Not Run</x:v>
      </x:c>
      <x:c r="K37" s="10" t="str"/>
      <x:c r="L37" s="10" t="str"/>
      <x:c r="M37" s="10" t="str"/>
      <x:c r="N37" s="10" t="str"/>
    </x:row>
    <x:row r="38" ht="98" customHeight="1">
      <x:c r="A38" s="9" t="str">
        <x:v>UI-030</x:v>
      </x:c>
      <x:c r="B38" s="9" t="str">
        <x:v>Browse donations</x:v>
      </x:c>
      <x:c r="C38" s="9" t="str">
        <x:v>Recipient</x:v>
      </x:c>
      <x:c r="D38" s="9" t="str">
        <x:v>Medium</x:v>
      </x:c>
      <x:c r="E38" s="9" t="str">
        <x:v>Ree</x:v>
      </x:c>
      <x:c r="F38" s="9" t="str">
        <x:v>Empty list</x:v>
      </x:c>
      <x:c r="G38" s="9" t="str">
        <x:v>Approved recipient logged in. Available, reserved and expired donations exist.</x:v>
      </x:c>
      <x:c r="H38" s="9" t="str">
        <x:v>1. Use an empty data set or category. 2. Open Browse.</x:v>
      </x:c>
      <x:c r="I38" s="9" t="str">
        <x:v>Readable empty state appears with no broken cards.</x:v>
      </x:c>
      <x:c r="J38" s="10" t="str">
        <x:v>Not Run</x:v>
      </x:c>
      <x:c r="K38" s="10" t="str"/>
      <x:c r="L38" s="10" t="str"/>
      <x:c r="M38" s="10" t="str"/>
      <x:c r="N38" s="10" t="str"/>
    </x:row>
    <x:row r="39" ht="98" customHeight="1">
      <x:c r="A39" s="8" t="str">
        <x:v>UI-031</x:v>
      </x:c>
      <x:c r="B39" s="8" t="str">
        <x:v>Browse donations</x:v>
      </x:c>
      <x:c r="C39" s="8" t="str">
        <x:v>Recipient</x:v>
      </x:c>
      <x:c r="D39" s="8" t="str">
        <x:v>High</x:v>
      </x:c>
      <x:c r="E39" s="8" t="str">
        <x:v>Ree</x:v>
      </x:c>
      <x:c r="F39" s="8" t="str">
        <x:v>Expiry refresh</x:v>
      </x:c>
      <x:c r="G39" s="8" t="str">
        <x:v>Approved recipient logged in. Available, reserved and expired donations exist.</x:v>
      </x:c>
      <x:c r="H39" s="8" t="str">
        <x:v>1. Create an available item with a past deadline through test setup. 2. Wait about 70 seconds. 3. Refresh.</x:v>
      </x:c>
      <x:c r="I39" s="8" t="str">
        <x:v>Expired item disappears from Browse after the expiry job runs.</x:v>
      </x:c>
      <x:c r="J39" s="10" t="str">
        <x:v>Not Run</x:v>
      </x:c>
      <x:c r="K39" s="10" t="str"/>
      <x:c r="L39" s="10" t="str"/>
      <x:c r="M39" s="10" t="str"/>
      <x:c r="N39" s="10" t="str"/>
    </x:row>
    <x:row r="40" ht="98" customHeight="1">
      <x:c r="A40" s="9" t="str">
        <x:v>UI-032</x:v>
      </x:c>
      <x:c r="B40" s="9" t="str">
        <x:v>Reserve dialog</x:v>
      </x:c>
      <x:c r="C40" s="9" t="str">
        <x:v>Recipient</x:v>
      </x:c>
      <x:c r="D40" s="9" t="str">
        <x:v>High</x:v>
      </x:c>
      <x:c r="E40" s="9" t="str">
        <x:v>Ree</x:v>
      </x:c>
      <x:c r="F40" s="9" t="str">
        <x:v>Reserve available donation</x:v>
      </x:c>
      <x:c r="G40" s="9" t="str">
        <x:v>Approved recipient and AVAILABLE donation exist. Prepare a pending recipient as well.</x:v>
      </x:c>
      <x:c r="H40" s="9" t="str">
        <x:v>1. Open donation. 2. Choose valid pickup time. 3. Confirm.</x:v>
      </x:c>
      <x:c r="I40" s="9" t="str">
        <x:v>201 creates PENDING reservation for the logged-in org. Donation becomes RESERVED and leaves Browse.</x:v>
      </x:c>
      <x:c r="J40" s="10" t="str">
        <x:v>Not Run</x:v>
      </x:c>
      <x:c r="K40" s="10" t="str"/>
      <x:c r="L40" s="10" t="str"/>
      <x:c r="M40" s="10" t="str"/>
      <x:c r="N40" s="10" t="str"/>
    </x:row>
    <x:row r="41" ht="98" customHeight="1">
      <x:c r="A41" s="8" t="str">
        <x:v>UI-033</x:v>
      </x:c>
      <x:c r="B41" s="8" t="str">
        <x:v>Reserve dialog</x:v>
      </x:c>
      <x:c r="C41" s="8" t="str">
        <x:v>Recipient</x:v>
      </x:c>
      <x:c r="D41" s="8" t="str">
        <x:v>High</x:v>
      </x:c>
      <x:c r="E41" s="8" t="str">
        <x:v>Ree</x:v>
      </x:c>
      <x:c r="F41" s="8" t="str">
        <x:v>Pending approval banner</x:v>
      </x:c>
      <x:c r="G41" s="8" t="str">
        <x:v>Approved recipient and AVAILABLE donation exist. Prepare a pending recipient as well.</x:v>
      </x:c>
      <x:c r="H41" s="8" t="str">
        <x:v>1. Log in as PENDING recipient. 2. Open Browse and attempt reserve.</x:v>
      </x:c>
      <x:c r="I41" s="8" t="str">
        <x:v>Approval banner is visible. Reservation is blocked and any API approval error is shown.</x:v>
      </x:c>
      <x:c r="J41" s="10" t="str">
        <x:v>Not Run</x:v>
      </x:c>
      <x:c r="K41" s="10" t="str"/>
      <x:c r="L41" s="10" t="str"/>
      <x:c r="M41" s="10" t="str"/>
      <x:c r="N41" s="10" t="str"/>
    </x:row>
    <x:row r="42" ht="98" customHeight="1">
      <x:c r="A42" s="9" t="str">
        <x:v>UI-034</x:v>
      </x:c>
      <x:c r="B42" s="9" t="str">
        <x:v>Reserve dialog</x:v>
      </x:c>
      <x:c r="C42" s="9" t="str">
        <x:v>Recipient</x:v>
      </x:c>
      <x:c r="D42" s="9" t="str">
        <x:v>High</x:v>
      </x:c>
      <x:c r="E42" s="9" t="str">
        <x:v>Ree</x:v>
      </x:c>
      <x:c r="F42" s="9" t="str">
        <x:v>Already reserved item</x:v>
      </x:c>
      <x:c r="G42" s="9" t="str">
        <x:v>Approved recipient and AVAILABLE donation exist. Prepare a pending recipient as well.</x:v>
      </x:c>
      <x:c r="H42" s="9" t="str">
        <x:v>1. Open same item in two sessions. 2. Reserve in first. 3. Reserve in stale second session.</x:v>
      </x:c>
      <x:c r="I42" s="9" t="str">
        <x:v>Second attempt fails without duplicate reservation. API error is displayed and list can refresh.</x:v>
      </x:c>
      <x:c r="J42" s="10" t="str">
        <x:v>Not Run</x:v>
      </x:c>
      <x:c r="K42" s="10" t="str"/>
      <x:c r="L42" s="10" t="str"/>
      <x:c r="M42" s="10" t="str"/>
      <x:c r="N42" s="10" t="str"/>
    </x:row>
    <x:row r="43" ht="98" customHeight="1">
      <x:c r="A43" s="8" t="str">
        <x:v>UI-035</x:v>
      </x:c>
      <x:c r="B43" s="8" t="str">
        <x:v>Reserve dialog</x:v>
      </x:c>
      <x:c r="C43" s="8" t="str">
        <x:v>Recipient</x:v>
      </x:c>
      <x:c r="D43" s="8" t="str">
        <x:v>Medium</x:v>
      </x:c>
      <x:c r="E43" s="8" t="str">
        <x:v>Ree</x:v>
      </x:c>
      <x:c r="F43" s="8" t="str">
        <x:v>Close reserve dialog</x:v>
      </x:c>
      <x:c r="G43" s="8" t="str">
        <x:v>Approved recipient and AVAILABLE donation exist. Prepare a pending recipient as well.</x:v>
      </x:c>
      <x:c r="H43" s="8" t="str">
        <x:v>1. Open dialog. 2. Close without confirming.</x:v>
      </x:c>
      <x:c r="I43" s="8" t="str">
        <x:v>No reservation request is sent. Donation remains AVAILABLE.</x:v>
      </x:c>
      <x:c r="J43" s="10" t="str">
        <x:v>Not Run</x:v>
      </x:c>
      <x:c r="K43" s="10" t="str"/>
      <x:c r="L43" s="10" t="str"/>
      <x:c r="M43" s="10" t="str"/>
      <x:c r="N43" s="10" t="str"/>
    </x:row>
    <x:row r="44" ht="98" customHeight="1">
      <x:c r="A44" s="9" t="str">
        <x:v>UI-036</x:v>
      </x:c>
      <x:c r="B44" s="9" t="str">
        <x:v>Reserve dialog</x:v>
      </x:c>
      <x:c r="C44" s="9" t="str">
        <x:v>Recipient</x:v>
      </x:c>
      <x:c r="D44" s="9" t="str">
        <x:v>High</x:v>
      </x:c>
      <x:c r="E44" s="9" t="str">
        <x:v>Ree</x:v>
      </x:c>
      <x:c r="F44" s="9" t="str">
        <x:v>Repeat reserve click</x:v>
      </x:c>
      <x:c r="G44" s="9" t="str">
        <x:v>Approved recipient and AVAILABLE donation exist. Prepare a pending recipient as well.</x:v>
      </x:c>
      <x:c r="H44" s="9" t="str">
        <x:v>1. Submit reservation twice rapidly.</x:v>
      </x:c>
      <x:c r="I44" s="9" t="str">
        <x:v>Only one active reservation exists. API errors are not hidden.</x:v>
      </x:c>
      <x:c r="J44" s="10" t="str">
        <x:v>Not Run</x:v>
      </x:c>
      <x:c r="K44" s="10" t="str"/>
      <x:c r="L44" s="10" t="str"/>
      <x:c r="M44" s="10" t="str"/>
      <x:c r="N44" s="10" t="str"/>
    </x:row>
    <x:row r="45" ht="98" customHeight="1">
      <x:c r="A45" s="8" t="str">
        <x:v>UI-037</x:v>
      </x:c>
      <x:c r="B45" s="8" t="str">
        <x:v>Reserve dialog</x:v>
      </x:c>
      <x:c r="C45" s="8" t="str">
        <x:v>Recipient</x:v>
      </x:c>
      <x:c r="D45" s="8" t="str">
        <x:v>High</x:v>
      </x:c>
      <x:c r="E45" s="8" t="str">
        <x:v>Ree</x:v>
      </x:c>
      <x:c r="F45" s="8" t="str">
        <x:v>Pickup time display</x:v>
      </x:c>
      <x:c r="G45" s="8" t="str">
        <x:v>Approved recipient and AVAILABLE donation exist. Prepare a pending recipient as well.</x:v>
      </x:c>
      <x:c r="H45" s="8" t="str">
        <x:v>1. Choose local pickup time. 2. Reserve. 3. Open My reservations.</x:v>
      </x:c>
      <x:c r="I45" s="8" t="str">
        <x:v>Stored instant and displayed local time match the selection.</x:v>
      </x:c>
      <x:c r="J45" s="10" t="str">
        <x:v>Not Run</x:v>
      </x:c>
      <x:c r="K45" s="10" t="str"/>
      <x:c r="L45" s="10" t="str"/>
      <x:c r="M45" s="10" t="str"/>
      <x:c r="N45" s="10" t="str"/>
    </x:row>
    <x:row r="46" ht="98" customHeight="1">
      <x:c r="A46" s="9" t="str">
        <x:v>UI-038</x:v>
      </x:c>
      <x:c r="B46" s="9" t="str">
        <x:v>My reservations</x:v>
      </x:c>
      <x:c r="C46" s="9" t="str">
        <x:v>Recipient</x:v>
      </x:c>
      <x:c r="D46" s="9" t="str">
        <x:v>High</x:v>
      </x:c>
      <x:c r="E46" s="9" t="str">
        <x:v>Ree</x:v>
      </x:c>
      <x:c r="F46" s="9" t="str">
        <x:v>Own reservation list</x:v>
      </x:c>
      <x:c r="G46" s="9" t="str">
        <x:v>Recipient A and B have separate reservations. Use a fresh item for cancel and collect tests.</x:v>
      </x:c>
      <x:c r="H46" s="9" t="str">
        <x:v>1. Log in as A. 2. Open My reservations. 3. Compare recipient API list.</x:v>
      </x:c>
      <x:c r="I46" s="9" t="str">
        <x:v>Only A reservations are shown with correct donation, pickup time and status.</x:v>
      </x:c>
      <x:c r="J46" s="10" t="str">
        <x:v>Not Run</x:v>
      </x:c>
      <x:c r="K46" s="10" t="str"/>
      <x:c r="L46" s="10" t="str"/>
      <x:c r="M46" s="10" t="str"/>
      <x:c r="N46" s="10" t="str"/>
    </x:row>
    <x:row r="47" ht="98" customHeight="1">
      <x:c r="A47" s="8" t="str">
        <x:v>UI-039</x:v>
      </x:c>
      <x:c r="B47" s="8" t="str">
        <x:v>My reservations</x:v>
      </x:c>
      <x:c r="C47" s="8" t="str">
        <x:v>Recipient</x:v>
      </x:c>
      <x:c r="D47" s="8" t="str">
        <x:v>High</x:v>
      </x:c>
      <x:c r="E47" s="8" t="str">
        <x:v>Ree</x:v>
      </x:c>
      <x:c r="F47" s="8" t="str">
        <x:v>Mark collected</x:v>
      </x:c>
      <x:c r="G47" s="8" t="str">
        <x:v>Recipient A and B have separate reservations. Use a fresh item for cancel and collect tests.</x:v>
      </x:c>
      <x:c r="H47" s="8" t="str">
        <x:v>1. Select an active reservation. 2. Mark collected. 3. Refresh.</x:v>
      </x:c>
      <x:c r="I47" s="8" t="str">
        <x:v>Reservation and donation are COLLECTED. Donation collectedAt is populated.</x:v>
      </x:c>
      <x:c r="J47" s="10" t="str">
        <x:v>Not Run</x:v>
      </x:c>
      <x:c r="K47" s="10" t="str"/>
      <x:c r="L47" s="10" t="str"/>
      <x:c r="M47" s="10" t="str"/>
      <x:c r="N47" s="10" t="str"/>
    </x:row>
    <x:row r="48" ht="98" customHeight="1">
      <x:c r="A48" s="9" t="str">
        <x:v>UI-040</x:v>
      </x:c>
      <x:c r="B48" s="9" t="str">
        <x:v>My reservations</x:v>
      </x:c>
      <x:c r="C48" s="9" t="str">
        <x:v>Recipient</x:v>
      </x:c>
      <x:c r="D48" s="9" t="str">
        <x:v>High</x:v>
      </x:c>
      <x:c r="E48" s="9" t="str">
        <x:v>Ree</x:v>
      </x:c>
      <x:c r="F48" s="9" t="str">
        <x:v>Cancel reservation</x:v>
      </x:c>
      <x:c r="G48" s="9" t="str">
        <x:v>Recipient A and B have separate reservations. Use a fresh item for cancel and collect tests.</x:v>
      </x:c>
      <x:c r="H48" s="9" t="str">
        <x:v>1. Select an active reservation. 2. Cancel. 3. Refresh Browse.</x:v>
      </x:c>
      <x:c r="I48" s="9" t="str">
        <x:v>Reservation becomes CANCELLED. Donation becomes AVAILABLE and is visible in Browse.</x:v>
      </x:c>
      <x:c r="J48" s="10" t="str">
        <x:v>Not Run</x:v>
      </x:c>
      <x:c r="K48" s="10" t="str"/>
      <x:c r="L48" s="10" t="str"/>
      <x:c r="M48" s="10" t="str"/>
      <x:c r="N48" s="10" t="str"/>
    </x:row>
    <x:row r="49" ht="98" customHeight="1">
      <x:c r="A49" s="8" t="str">
        <x:v>UI-041</x:v>
      </x:c>
      <x:c r="B49" s="8" t="str">
        <x:v>My reservations</x:v>
      </x:c>
      <x:c r="C49" s="8" t="str">
        <x:v>Recipient</x:v>
      </x:c>
      <x:c r="D49" s="8" t="str">
        <x:v>High</x:v>
      </x:c>
      <x:c r="E49" s="8" t="str">
        <x:v>Ree</x:v>
      </x:c>
      <x:c r="F49" s="8" t="str">
        <x:v>Reserve after cancel</x:v>
      </x:c>
      <x:c r="G49" s="8" t="str">
        <x:v>Recipient A and B have separate reservations. Use a fresh item for cancel and collect tests.</x:v>
      </x:c>
      <x:c r="H49" s="8" t="str">
        <x:v>1. Cancel a reservation. 2. Reserve the same donation again.</x:v>
      </x:c>
      <x:c r="I49" s="8" t="str">
        <x:v>New reservation succeeds. Old row stays CANCELLED. Only one active reservation exists.</x:v>
      </x:c>
      <x:c r="J49" s="10" t="str">
        <x:v>Not Run</x:v>
      </x:c>
      <x:c r="K49" s="10" t="str"/>
      <x:c r="L49" s="10" t="str"/>
      <x:c r="M49" s="10" t="str"/>
      <x:c r="N49" s="10" t="str"/>
    </x:row>
    <x:row r="50" ht="98" customHeight="1">
      <x:c r="A50" s="9" t="str">
        <x:v>UI-042</x:v>
      </x:c>
      <x:c r="B50" s="9" t="str">
        <x:v>My reservations</x:v>
      </x:c>
      <x:c r="C50" s="9" t="str">
        <x:v>Recipient</x:v>
      </x:c>
      <x:c r="D50" s="9" t="str">
        <x:v>Medium</x:v>
      </x:c>
      <x:c r="E50" s="9" t="str">
        <x:v>Ree</x:v>
      </x:c>
      <x:c r="F50" s="9" t="str">
        <x:v>Empty reservations</x:v>
      </x:c>
      <x:c r="G50" s="9" t="str">
        <x:v>Recipient A and B have separate reservations. Use a fresh item for cancel and collect tests.</x:v>
      </x:c>
      <x:c r="H50" s="9" t="str">
        <x:v>1. Log in with an org that has no reservations. 2. Open list.</x:v>
      </x:c>
      <x:c r="I50" s="9" t="str">
        <x:v>Clear empty state appears.</x:v>
      </x:c>
      <x:c r="J50" s="10" t="str">
        <x:v>Not Run</x:v>
      </x:c>
      <x:c r="K50" s="10" t="str"/>
      <x:c r="L50" s="10" t="str"/>
      <x:c r="M50" s="10" t="str"/>
      <x:c r="N50" s="10" t="str"/>
    </x:row>
    <x:row r="51" ht="98" customHeight="1">
      <x:c r="A51" s="8" t="str">
        <x:v>UI-043</x:v>
      </x:c>
      <x:c r="B51" s="8" t="str">
        <x:v>Report a problem</x:v>
      </x:c>
      <x:c r="C51" s="8" t="str">
        <x:v>Recipient</x:v>
      </x:c>
      <x:c r="D51" s="8" t="str">
        <x:v>High</x:v>
      </x:c>
      <x:c r="E51" s="8" t="str">
        <x:v>Ree</x:v>
      </x:c>
      <x:c r="F51" s="8" t="str">
        <x:v>Submit incident</x:v>
      </x:c>
      <x:c r="G51" s="8" t="str">
        <x:v>Recipient logged in. Donation exists. Use a collected dairy donation for the use-by case.</x:v>
      </x:c>
      <x:c r="H51" s="8" t="str">
        <x:v>1. Open Report a problem for a donation. 2. Enter description and valid severity. 3. Submit.</x:v>
      </x:c>
      <x:c r="I51" s="8" t="str">
        <x:v>201 creates OPEN incident for the correct donation and reporter. Confirmation is visible.</x:v>
      </x:c>
      <x:c r="J51" s="10" t="str">
        <x:v>Not Run</x:v>
      </x:c>
      <x:c r="K51" s="10" t="str"/>
      <x:c r="L51" s="10" t="str"/>
      <x:c r="M51" s="10" t="str"/>
      <x:c r="N51" s="10" t="str"/>
    </x:row>
    <x:row r="52" ht="98" customHeight="1">
      <x:c r="A52" s="9" t="str">
        <x:v>UI-044</x:v>
      </x:c>
      <x:c r="B52" s="9" t="str">
        <x:v>Report a problem</x:v>
      </x:c>
      <x:c r="C52" s="9" t="str">
        <x:v>Recipient</x:v>
      </x:c>
      <x:c r="D52" s="9" t="str">
        <x:v>High</x:v>
      </x:c>
      <x:c r="E52" s="9" t="str">
        <x:v>Ree</x:v>
      </x:c>
      <x:c r="F52" s="9" t="str">
        <x:v>Severity options</x:v>
      </x:c>
      <x:c r="G52" s="9" t="str">
        <x:v>Recipient logged in. Donation exists. Use a collected dairy donation for the use-by case.</x:v>
      </x:c>
      <x:c r="H52" s="9" t="str">
        <x:v>1. Open severity selector. 2. Submit each option using separate incidents.</x:v>
      </x:c>
      <x:c r="I52" s="9" t="str">
        <x:v>MINOR, MODERATE and SEVERE map correctly to requests.</x:v>
      </x:c>
      <x:c r="J52" s="10" t="str">
        <x:v>Not Run</x:v>
      </x:c>
      <x:c r="K52" s="10" t="str"/>
      <x:c r="L52" s="10" t="str"/>
      <x:c r="M52" s="10" t="str"/>
      <x:c r="N52" s="10" t="str"/>
    </x:row>
    <x:row r="53" ht="98" customHeight="1">
      <x:c r="A53" s="8" t="str">
        <x:v>UI-045</x:v>
      </x:c>
      <x:c r="B53" s="8" t="str">
        <x:v>Report a problem</x:v>
      </x:c>
      <x:c r="C53" s="8" t="str">
        <x:v>Recipient</x:v>
      </x:c>
      <x:c r="D53" s="8" t="str">
        <x:v>High</x:v>
      </x:c>
      <x:c r="E53" s="8" t="str">
        <x:v>Ree</x:v>
      </x:c>
      <x:c r="F53" s="8" t="str">
        <x:v>Blank description</x:v>
      </x:c>
      <x:c r="G53" s="8" t="str">
        <x:v>Recipient logged in. Donation exists. Use a collected dairy donation for the use-by case.</x:v>
      </x:c>
      <x:c r="H53" s="8" t="str">
        <x:v>1. Leave description blank. 2. Submit.</x:v>
      </x:c>
      <x:c r="I53" s="8" t="str">
        <x:v>Validation prevents submission or API 400 error is shown.</x:v>
      </x:c>
      <x:c r="J53" s="10" t="str">
        <x:v>Not Run</x:v>
      </x:c>
      <x:c r="K53" s="10" t="str"/>
      <x:c r="L53" s="10" t="str"/>
      <x:c r="M53" s="10" t="str"/>
      <x:c r="N53" s="10" t="str"/>
    </x:row>
    <x:row r="54" ht="98" customHeight="1">
      <x:c r="A54" s="9" t="str">
        <x:v>UI-046</x:v>
      </x:c>
      <x:c r="B54" s="9" t="str">
        <x:v>Report a problem</x:v>
      </x:c>
      <x:c r="C54" s="9" t="str">
        <x:v>Recipient</x:v>
      </x:c>
      <x:c r="D54" s="9" t="str">
        <x:v>High</x:v>
      </x:c>
      <x:c r="E54" s="9" t="str">
        <x:v>Ree</x:v>
      </x:c>
      <x:c r="F54" s="9" t="str">
        <x:v>Dairy use-by mismatch</x:v>
      </x:c>
      <x:c r="G54" s="9" t="str">
        <x:v>Recipient logged in. Donation exists. Use a collected dairy donation for the use-by case.</x:v>
      </x:c>
      <x:c r="H54" s="9" t="str">
        <x:v>1. Select collected dairy item. 2. Describe mismatch between communicated and printed use-by dates. 3. Submit.</x:v>
      </x:c>
      <x:c r="I54" s="9" t="str">
        <x:v>Incident preserves the description, severity, donation reference and reporter for admin follow-up.</x:v>
      </x:c>
      <x:c r="J54" s="10" t="str">
        <x:v>Not Run</x:v>
      </x:c>
      <x:c r="K54" s="10" t="str"/>
      <x:c r="L54" s="10" t="str"/>
      <x:c r="M54" s="10" t="str"/>
      <x:c r="N54" s="10" t="str"/>
    </x:row>
    <x:row r="55" ht="98" customHeight="1">
      <x:c r="A55" s="8" t="str">
        <x:v>UI-047</x:v>
      </x:c>
      <x:c r="B55" s="8" t="str">
        <x:v>Report a problem</x:v>
      </x:c>
      <x:c r="C55" s="8" t="str">
        <x:v>Recipient</x:v>
      </x:c>
      <x:c r="D55" s="8" t="str">
        <x:v>High</x:v>
      </x:c>
      <x:c r="E55" s="8" t="str">
        <x:v>Ree</x:v>
      </x:c>
      <x:c r="F55" s="8" t="str">
        <x:v>Reporter and donor details</x:v>
      </x:c>
      <x:c r="G55" s="8" t="str">
        <x:v>Recipient logged in. Donation exists. Use a collected dairy donation for the use-by case.</x:v>
      </x:c>
      <x:c r="H55" s="8" t="str">
        <x:v>1. Submit an incident. 2. Inspect admin detail and API response.</x:v>
      </x:c>
      <x:c r="I55" s="8" t="str">
        <x:v>Correct reporter, donor ID/name/organisation, donation title and reported timestamp are available.</x:v>
      </x:c>
      <x:c r="J55" s="10" t="str">
        <x:v>Not Run</x:v>
      </x:c>
      <x:c r="K55" s="10" t="str"/>
      <x:c r="L55" s="10" t="str"/>
      <x:c r="M55" s="10" t="str"/>
      <x:c r="N55" s="10" t="str"/>
    </x:row>
    <x:row r="56" ht="98" customHeight="1">
      <x:c r="A56" s="9" t="str">
        <x:v>UI-048</x:v>
      </x:c>
      <x:c r="B56" s="9" t="str">
        <x:v>Report a problem</x:v>
      </x:c>
      <x:c r="C56" s="9" t="str">
        <x:v>Recipient</x:v>
      </x:c>
      <x:c r="D56" s="9" t="str">
        <x:v>High</x:v>
      </x:c>
      <x:c r="E56" s="9" t="str">
        <x:v>Ree</x:v>
      </x:c>
      <x:c r="F56" s="9" t="str">
        <x:v>Donor cannot flag through UI</x:v>
      </x:c>
      <x:c r="G56" s="9" t="str">
        <x:v>Recipient logged in. Donation exists. Use a collected dairy donation for the use-by case.</x:v>
      </x:c>
      <x:c r="H56" s="9" t="str">
        <x:v>1. Log in as donor. 2. Inspect donation actions and recipient report route.</x:v>
      </x:c>
      <x:c r="I56" s="9" t="str">
        <x:v>No Flag a problem action is offered. Recipient report route is protected.</x:v>
      </x:c>
      <x:c r="J56" s="10" t="str">
        <x:v>Not Run</x:v>
      </x:c>
      <x:c r="K56" s="10" t="str"/>
      <x:c r="L56" s="10" t="str"/>
      <x:c r="M56" s="10" t="str"/>
      <x:c r="N56" s="10" t="str"/>
    </x:row>
    <x:row r="57" ht="98" customHeight="1">
      <x:c r="A57" s="8" t="str">
        <x:v>UI-049</x:v>
      </x:c>
      <x:c r="B57" s="8" t="str">
        <x:v>Report a problem</x:v>
      </x:c>
      <x:c r="C57" s="8" t="str">
        <x:v>Recipient</x:v>
      </x:c>
      <x:c r="D57" s="8" t="str">
        <x:v>Medium</x:v>
      </x:c>
      <x:c r="E57" s="8" t="str">
        <x:v>Ree</x:v>
      </x:c>
      <x:c r="F57" s="8" t="str">
        <x:v>Uncollected or pending reporter</x:v>
      </x:c>
      <x:c r="G57" s="8" t="str">
        <x:v>Recipient logged in. Donation exists. Use a collected dairy donation for the use-by case.</x:v>
      </x:c>
      <x:c r="H57" s="8" t="str">
        <x:v>1. Try reporting as pending org. 2. Try a donation the org never collected.</x:v>
      </x:c>
      <x:c r="I57" s="8" t="str">
        <x:v>Record actual behaviour. Backend currently allows both. Confirm permission policy with Chenlu/Anil rather than invent a rule.</x:v>
      </x:c>
      <x:c r="J57" s="10" t="str">
        <x:v>Not Run</x:v>
      </x:c>
      <x:c r="K57" s="10" t="str"/>
      <x:c r="L57" s="10" t="str"/>
      <x:c r="M57" s="10" t="str"/>
      <x:c r="N57" s="10" t="str"/>
    </x:row>
    <x:row r="58" ht="98" customHeight="1">
      <x:c r="A58" s="9" t="str">
        <x:v>UI-050</x:v>
      </x:c>
      <x:c r="B58" s="9" t="str">
        <x:v>Admin dashboard</x:v>
      </x:c>
      <x:c r="C58" s="9" t="str">
        <x:v>Admin</x:v>
      </x:c>
      <x:c r="D58" s="9" t="str">
        <x:v>High</x:v>
      </x:c>
      <x:c r="E58" s="9" t="str">
        <x:v>Yeyun</x:v>
      </x:c>
      <x:c r="F58" s="9" t="str">
        <x:v>Dashboard counts</x:v>
      </x:c>
      <x:c r="G58" s="9" t="str">
        <x:v>Admin logged in. Prepare incidents and pending recipients.</x:v>
      </x:c>
      <x:c r="H58" s="9" t="str">
        <x:v>1. Open dashboard. 2. Compare every displayed count with stats API.</x:v>
      </x:c>
      <x:c r="I58" s="9" t="str">
        <x:v>Cards match API values, including unresolved OPEN plus UNDER_REVIEW incidents.</x:v>
      </x:c>
      <x:c r="J58" s="10" t="str">
        <x:v>Not Run</x:v>
      </x:c>
      <x:c r="K58" s="10" t="str"/>
      <x:c r="L58" s="10" t="str"/>
      <x:c r="M58" s="10" t="str"/>
      <x:c r="N58" s="10" t="str"/>
    </x:row>
    <x:row r="59" ht="98" customHeight="1">
      <x:c r="A59" s="8" t="str">
        <x:v>UI-051</x:v>
      </x:c>
      <x:c r="B59" s="8" t="str">
        <x:v>Admin dashboard</x:v>
      </x:c>
      <x:c r="C59" s="8" t="str">
        <x:v>Admin</x:v>
      </x:c>
      <x:c r="D59" s="8" t="str">
        <x:v>High</x:v>
      </x:c>
      <x:c r="E59" s="8" t="str">
        <x:v>Yeyun</x:v>
      </x:c>
      <x:c r="F59" s="8" t="str">
        <x:v>Incident highlight</x:v>
      </x:c>
      <x:c r="G59" s="8" t="str">
        <x:v>Admin logged in. Prepare incidents and pending recipients.</x:v>
      </x:c>
      <x:c r="H59" s="8" t="str">
        <x:v>1. Prepare at least one unresolved incident. 2. Open dashboard. 3. Resolve all and refresh.</x:v>
      </x:c>
      <x:c r="I59" s="8" t="str">
        <x:v>Open-incident indicator is highlighted above 0 and clears when count is 0.</x:v>
      </x:c>
      <x:c r="J59" s="10" t="str">
        <x:v>Not Run</x:v>
      </x:c>
      <x:c r="K59" s="10" t="str"/>
      <x:c r="L59" s="10" t="str"/>
      <x:c r="M59" s="10" t="str"/>
      <x:c r="N59" s="10" t="str"/>
    </x:row>
    <x:row r="60" ht="98" customHeight="1">
      <x:c r="A60" s="9" t="str">
        <x:v>UI-052</x:v>
      </x:c>
      <x:c r="B60" s="9" t="str">
        <x:v>Recipient approvals</x:v>
      </x:c>
      <x:c r="C60" s="9" t="str">
        <x:v>Admin</x:v>
      </x:c>
      <x:c r="D60" s="9" t="str">
        <x:v>High</x:v>
      </x:c>
      <x:c r="E60" s="9" t="str">
        <x:v>Yeyun</x:v>
      </x:c>
      <x:c r="F60" s="9" t="str">
        <x:v>Pending list</x:v>
      </x:c>
      <x:c r="G60" s="9" t="str">
        <x:v>At least two PENDING recipient organisations exist.</x:v>
      </x:c>
      <x:c r="H60" s="9" t="str">
        <x:v>1. Open approvals. 2. Compare pending-verifications response.</x:v>
      </x:c>
      <x:c r="I60" s="9" t="str">
        <x:v>Pending organisations are listed correctly.</x:v>
      </x:c>
      <x:c r="J60" s="10" t="str">
        <x:v>Not Run</x:v>
      </x:c>
      <x:c r="K60" s="10" t="str"/>
      <x:c r="L60" s="10" t="str"/>
      <x:c r="M60" s="10" t="str"/>
      <x:c r="N60" s="10" t="str"/>
    </x:row>
    <x:row r="61" ht="98" customHeight="1">
      <x:c r="A61" s="8" t="str">
        <x:v>UI-053</x:v>
      </x:c>
      <x:c r="B61" s="8" t="str">
        <x:v>Recipient approvals</x:v>
      </x:c>
      <x:c r="C61" s="8" t="str">
        <x:v>Admin</x:v>
      </x:c>
      <x:c r="D61" s="8" t="str">
        <x:v>High</x:v>
      </x:c>
      <x:c r="E61" s="8" t="str">
        <x:v>Yeyun</x:v>
      </x:c>
      <x:c r="F61" s="8" t="str">
        <x:v>Approve organisation</x:v>
      </x:c>
      <x:c r="G61" s="8" t="str">
        <x:v>At least two PENDING recipient organisations exist.</x:v>
      </x:c>
      <x:c r="H61" s="8" t="str">
        <x:v>1. Approve a pending org. 2. Refresh. 3. Log in as that recipient and reserve.</x:v>
      </x:c>
      <x:c r="I61" s="8" t="str">
        <x:v>PUT updates verificationStatus to APPROVED. Org leaves pending list and can reserve.</x:v>
      </x:c>
      <x:c r="J61" s="10" t="str">
        <x:v>Not Run</x:v>
      </x:c>
      <x:c r="K61" s="10" t="str"/>
      <x:c r="L61" s="10" t="str"/>
      <x:c r="M61" s="10" t="str"/>
      <x:c r="N61" s="10" t="str"/>
    </x:row>
    <x:row r="62" ht="98" customHeight="1">
      <x:c r="A62" s="9" t="str">
        <x:v>UI-054</x:v>
      </x:c>
      <x:c r="B62" s="9" t="str">
        <x:v>Recipient approvals</x:v>
      </x:c>
      <x:c r="C62" s="9" t="str">
        <x:v>Admin</x:v>
      </x:c>
      <x:c r="D62" s="9" t="str">
        <x:v>High</x:v>
      </x:c>
      <x:c r="E62" s="9" t="str">
        <x:v>Yeyun</x:v>
      </x:c>
      <x:c r="F62" s="9" t="str">
        <x:v>Reject organisation</x:v>
      </x:c>
      <x:c r="G62" s="9" t="str">
        <x:v>At least two PENDING recipient organisations exist.</x:v>
      </x:c>
      <x:c r="H62" s="9" t="str">
        <x:v>1. Reject a separate pending org. 2. Inspect response. 3. Try reserving as it.</x:v>
      </x:c>
      <x:c r="I62" s="9" t="str">
        <x:v>Verification status updates to the documented rejected state. Org cannot reserve. Capture request/error on failure.</x:v>
      </x:c>
      <x:c r="J62" s="10" t="str">
        <x:v>Not Run</x:v>
      </x:c>
      <x:c r="K62" s="10" t="str"/>
      <x:c r="L62" s="10" t="str"/>
      <x:c r="M62" s="10" t="str"/>
      <x:c r="N62" s="10" t="str"/>
    </x:row>
    <x:row r="63" ht="98" customHeight="1">
      <x:c r="A63" s="8" t="str">
        <x:v>UI-055</x:v>
      </x:c>
      <x:c r="B63" s="8" t="str">
        <x:v>Recipient approvals</x:v>
      </x:c>
      <x:c r="C63" s="8" t="str">
        <x:v>Admin</x:v>
      </x:c>
      <x:c r="D63" s="8" t="str">
        <x:v>Medium</x:v>
      </x:c>
      <x:c r="E63" s="8" t="str">
        <x:v>Yeyun</x:v>
      </x:c>
      <x:c r="F63" s="8" t="str">
        <x:v>No pending organisations</x:v>
      </x:c>
      <x:c r="G63" s="8" t="str">
        <x:v>At least two PENDING recipient organisations exist.</x:v>
      </x:c>
      <x:c r="H63" s="8" t="str">
        <x:v>1. Process all pending orgs. 2. Refresh approvals.</x:v>
      </x:c>
      <x:c r="I63" s="8" t="str">
        <x:v>Clear empty state, with no stale approval actions.</x:v>
      </x:c>
      <x:c r="J63" s="10" t="str">
        <x:v>Not Run</x:v>
      </x:c>
      <x:c r="K63" s="10" t="str"/>
      <x:c r="L63" s="10" t="str"/>
      <x:c r="M63" s="10" t="str"/>
      <x:c r="N63" s="10" t="str"/>
    </x:row>
    <x:row r="64" ht="98" customHeight="1">
      <x:c r="A64" s="9" t="str">
        <x:v>UI-056</x:v>
      </x:c>
      <x:c r="B64" s="9" t="str">
        <x:v>Admin incidents</x:v>
      </x:c>
      <x:c r="C64" s="9" t="str">
        <x:v>Admin</x:v>
      </x:c>
      <x:c r="D64" s="9" t="str">
        <x:v>High</x:v>
      </x:c>
      <x:c r="E64" s="9" t="str">
        <x:v>Yeyun</x:v>
      </x:c>
      <x:c r="F64" s="9" t="str">
        <x:v>Incident list and filters</x:v>
      </x:c>
      <x:c r="G64" s="9" t="str">
        <x:v>OPEN, UNDER_REVIEW and RESOLVED incidents exist.</x:v>
      </x:c>
      <x:c r="H64" s="9" t="str">
        <x:v>1. Open incidents. 2. Select each status. 3. Compare API results.</x:v>
      </x:c>
      <x:c r="I64" s="9" t="str">
        <x:v>Filter results and status labels are accurate. Donor and reporter details are visible.</x:v>
      </x:c>
      <x:c r="J64" s="10" t="str">
        <x:v>Not Run</x:v>
      </x:c>
      <x:c r="K64" s="10" t="str"/>
      <x:c r="L64" s="10" t="str"/>
      <x:c r="M64" s="10" t="str"/>
      <x:c r="N64" s="10" t="str"/>
    </x:row>
    <x:row r="65" ht="98" customHeight="1">
      <x:c r="A65" s="8" t="str">
        <x:v>UI-057</x:v>
      </x:c>
      <x:c r="B65" s="8" t="str">
        <x:v>Admin incidents</x:v>
      </x:c>
      <x:c r="C65" s="8" t="str">
        <x:v>Admin</x:v>
      </x:c>
      <x:c r="D65" s="8" t="str">
        <x:v>High</x:v>
      </x:c>
      <x:c r="E65" s="8" t="str">
        <x:v>Yeyun</x:v>
      </x:c>
      <x:c r="F65" s="8" t="str">
        <x:v>Move under review</x:v>
      </x:c>
      <x:c r="G65" s="8" t="str">
        <x:v>OPEN, UNDER_REVIEW and RESOLVED incidents exist.</x:v>
      </x:c>
      <x:c r="H65" s="8" t="str">
        <x:v>1. Select OPEN incident. 2. Mark under review. 3. Refresh.</x:v>
      </x:c>
      <x:c r="I65" s="8" t="str">
        <x:v>Status becomes UNDER_REVIEW. Unresolved count still includes this incident.</x:v>
      </x:c>
      <x:c r="J65" s="10" t="str">
        <x:v>Not Run</x:v>
      </x:c>
      <x:c r="K65" s="10" t="str"/>
      <x:c r="L65" s="10" t="str"/>
      <x:c r="M65" s="10" t="str"/>
      <x:c r="N65" s="10" t="str"/>
    </x:row>
    <x:row r="66" ht="98" customHeight="1">
      <x:c r="A66" s="9" t="str">
        <x:v>UI-058</x:v>
      </x:c>
      <x:c r="B66" s="9" t="str">
        <x:v>Admin incidents</x:v>
      </x:c>
      <x:c r="C66" s="9" t="str">
        <x:v>Admin</x:v>
      </x:c>
      <x:c r="D66" s="9" t="str">
        <x:v>High</x:v>
      </x:c>
      <x:c r="E66" s="9" t="str">
        <x:v>Yeyun</x:v>
      </x:c>
      <x:c r="F66" s="9" t="str">
        <x:v>Resolve with notes</x:v>
      </x:c>
      <x:c r="G66" s="9" t="str">
        <x:v>OPEN, UNDER_REVIEW and RESOLVED incidents exist.</x:v>
      </x:c>
      <x:c r="H66" s="9" t="str">
        <x:v>1. Open incident. 2. Enter resolution notes. 3. Resolve. 4. Refresh.</x:v>
      </x:c>
      <x:c r="I66" s="9" t="str">
        <x:v>Status becomes RESOLVED. Notes and resolvedAt persist. Unresolved count decreases.</x:v>
      </x:c>
      <x:c r="J66" s="10" t="str">
        <x:v>Not Run</x:v>
      </x:c>
      <x:c r="K66" s="10" t="str"/>
      <x:c r="L66" s="10" t="str"/>
      <x:c r="M66" s="10" t="str"/>
      <x:c r="N66" s="10" t="str"/>
    </x:row>
    <x:row r="67" ht="98" customHeight="1">
      <x:c r="A67" s="8" t="str">
        <x:v>UI-059</x:v>
      </x:c>
      <x:c r="B67" s="8" t="str">
        <x:v>Admin incidents</x:v>
      </x:c>
      <x:c r="C67" s="8" t="str">
        <x:v>Admin</x:v>
      </x:c>
      <x:c r="D67" s="8" t="str">
        <x:v>High</x:v>
      </x:c>
      <x:c r="E67" s="8" t="str">
        <x:v>Yeyun</x:v>
      </x:c>
      <x:c r="F67" s="8" t="str">
        <x:v>Resolve failure feedback</x:v>
      </x:c>
      <x:c r="G67" s="8" t="str">
        <x:v>OPEN, UNDER_REVIEW and RESOLVED incidents exist.</x:v>
      </x:c>
      <x:c r="H67" s="8" t="str">
        <x:v>1. Attempt resolve with invalid/missing required data. 2. Inspect UI and response.</x:v>
      </x:c>
      <x:c r="I67" s="8" t="str">
        <x:v>UI displays validation/API error and does not falsely show resolution success. Record blank-note policy if API accepts it.</x:v>
      </x:c>
      <x:c r="J67" s="10" t="str">
        <x:v>Not Run</x:v>
      </x:c>
      <x:c r="K67" s="10" t="str"/>
      <x:c r="L67" s="10" t="str"/>
      <x:c r="M67" s="10" t="str"/>
      <x:c r="N67" s="10" t="str"/>
    </x:row>
    <x:row r="68" ht="98" customHeight="1">
      <x:c r="A68" s="9" t="str">
        <x:v>UI-060</x:v>
      </x:c>
      <x:c r="B68" s="9" t="str">
        <x:v>Admin incidents</x:v>
      </x:c>
      <x:c r="C68" s="9" t="str">
        <x:v>Admin</x:v>
      </x:c>
      <x:c r="D68" s="9" t="str">
        <x:v>Medium</x:v>
      </x:c>
      <x:c r="E68" s="9" t="str">
        <x:v>Yeyun</x:v>
      </x:c>
      <x:c r="F68" s="9" t="str">
        <x:v>Report date range</x:v>
      </x:c>
      <x:c r="G68" s="9" t="str">
        <x:v>OPEN, UNDER_REVIEW and RESOLVED incidents exist.</x:v>
      </x:c>
      <x:c r="H68" s="9" t="str">
        <x:v>1. Choose range containing incidents. 2. Generate report. 3. Compare report API.</x:v>
      </x:c>
      <x:c r="I68" s="9" t="str">
        <x:v>Totals, severity/status grouping and included incidents match API. Optional report may be N/A if cut.</x:v>
      </x:c>
      <x:c r="J68" s="10" t="str">
        <x:v>Not Run</x:v>
      </x:c>
      <x:c r="K68" s="10" t="str"/>
      <x:c r="L68" s="10" t="str"/>
      <x:c r="M68" s="10" t="str"/>
      <x:c r="N68" s="10" t="str"/>
    </x:row>
    <x:row r="69" ht="98" customHeight="1">
      <x:c r="A69" s="8" t="str">
        <x:v>UI-061</x:v>
      </x:c>
      <x:c r="B69" s="8" t="str">
        <x:v>Admin incidents</x:v>
      </x:c>
      <x:c r="C69" s="8" t="str">
        <x:v>Admin</x:v>
      </x:c>
      <x:c r="D69" s="8" t="str">
        <x:v>Medium</x:v>
      </x:c>
      <x:c r="E69" s="8" t="str">
        <x:v>Yeyun</x:v>
      </x:c>
      <x:c r="F69" s="8" t="str">
        <x:v>Empty period and invalid dates</x:v>
      </x:c>
      <x:c r="G69" s="8" t="str">
        <x:v>OPEN, UNDER_REVIEW and RESOLVED incidents exist.</x:v>
      </x:c>
      <x:c r="H69" s="8" t="str">
        <x:v>1. Choose a period with no incidents. 2. Try invalid dates.</x:v>
      </x:c>
      <x:c r="I69" s="8" t="str">
        <x:v>Empty period shows total 0. Invalid date submission is blocked or API error is displayed.</x:v>
      </x:c>
      <x:c r="J69" s="10" t="str">
        <x:v>Not Run</x:v>
      </x:c>
      <x:c r="K69" s="10" t="str"/>
      <x:c r="L69" s="10" t="str"/>
      <x:c r="M69" s="10" t="str"/>
      <x:c r="N69" s="10" t="str"/>
    </x:row>
    <x:row r="70" ht="98" customHeight="1">
      <x:c r="A70" s="9" t="str">
        <x:v>UI-062</x:v>
      </x:c>
      <x:c r="B70" s="9" t="str">
        <x:v>Admin incidents</x:v>
      </x:c>
      <x:c r="C70" s="9" t="str">
        <x:v>Admin</x:v>
      </x:c>
      <x:c r="D70" s="9" t="str">
        <x:v>Low</x:v>
      </x:c>
      <x:c r="E70" s="9" t="str">
        <x:v>Yeyun</x:v>
      </x:c>
      <x:c r="F70" s="9" t="str">
        <x:v>Print report</x:v>
      </x:c>
      <x:c r="G70" s="9" t="str">
        <x:v>OPEN, UNDER_REVIEW and RESOLVED incidents exist.</x:v>
      </x:c>
      <x:c r="H70" s="9" t="str">
        <x:v>1. Generate period report. 2. Click Print. 3. Inspect print preview.</x:v>
      </x:c>
      <x:c r="I70" s="9" t="str">
        <x:v>Readable report prints without navigation covering content. If report feature is cut, record N/A.</x:v>
      </x:c>
      <x:c r="J70" s="10" t="str">
        <x:v>Not Run</x:v>
      </x:c>
      <x:c r="K70" s="10" t="str"/>
      <x:c r="L70" s="10" t="str"/>
      <x:c r="M70" s="10" t="str"/>
      <x:c r="N70" s="10" t="str"/>
    </x:row>
    <x:row r="71" ht="98" customHeight="1">
      <x:c r="A71" s="8" t="str">
        <x:v>UI-063</x:v>
      </x:c>
      <x:c r="B71" s="8" t="str">
        <x:v>Shared UI and full flow</x:v>
      </x:c>
      <x:c r="C71" s="8" t="str">
        <x:v>All</x:v>
      </x:c>
      <x:c r="D71" s="8" t="str">
        <x:v>High</x:v>
      </x:c>
      <x:c r="E71" s="8" t="str">
        <x:v>Ree / Yeyun</x:v>
      </x:c>
      <x:c r="F71" s="8" t="str">
        <x:v>Loading and request failure</x:v>
      </x:c>
      <x:c r="G71" s="8" t="str">
        <x:v>Run against the real backend in the browser. Record versions and screenshots.</x:v>
      </x:c>
      <x:c r="H71" s="8" t="str">
        <x:v>1. Throttle network on each screen. 2. Load it. 3. Stop backend and retry.</x:v>
      </x:c>
      <x:c r="I71" s="8" t="str">
        <x:v>Loading state is visible. Failure has readable feedback and retry. No infinite spinner or false success.</x:v>
      </x:c>
      <x:c r="J71" s="10" t="str">
        <x:v>Not Run</x:v>
      </x:c>
      <x:c r="K71" s="10" t="str"/>
      <x:c r="L71" s="10" t="str"/>
      <x:c r="M71" s="10" t="str"/>
      <x:c r="N71" s="10" t="str"/>
    </x:row>
    <x:row r="72" ht="98" customHeight="1">
      <x:c r="A72" s="9" t="str">
        <x:v>UI-064</x:v>
      </x:c>
      <x:c r="B72" s="9" t="str">
        <x:v>Shared UI and full flow</x:v>
      </x:c>
      <x:c r="C72" s="9" t="str">
        <x:v>All</x:v>
      </x:c>
      <x:c r="D72" s="9" t="str">
        <x:v>High</x:v>
      </x:c>
      <x:c r="E72" s="9" t="str">
        <x:v>Ree / Yeyun</x:v>
      </x:c>
      <x:c r="F72" s="9" t="str">
        <x:v>Console errors</x:v>
      </x:c>
      <x:c r="G72" s="9" t="str">
        <x:v>Run against the real backend in the browser. Record versions and screenshots.</x:v>
      </x:c>
      <x:c r="H72" s="9" t="str">
        <x:v>1. Open DevTools Console. 2. Execute each role flow.</x:v>
      </x:c>
      <x:c r="I72" s="9" t="str">
        <x:v>No uncaught errors occur. Save console evidence for failures.</x:v>
      </x:c>
      <x:c r="J72" s="10" t="str">
        <x:v>Not Run</x:v>
      </x:c>
      <x:c r="K72" s="10" t="str"/>
      <x:c r="L72" s="10" t="str"/>
      <x:c r="M72" s="10" t="str"/>
      <x:c r="N72" s="10" t="str"/>
    </x:row>
    <x:row r="73" ht="98" customHeight="1">
      <x:c r="A73" s="8" t="str">
        <x:v>UI-065</x:v>
      </x:c>
      <x:c r="B73" s="8" t="str">
        <x:v>Shared UI and full flow</x:v>
      </x:c>
      <x:c r="C73" s="8" t="str">
        <x:v>All</x:v>
      </x:c>
      <x:c r="D73" s="8" t="str">
        <x:v>High</x:v>
      </x:c>
      <x:c r="E73" s="8" t="str">
        <x:v>Ree / Yeyun</x:v>
      </x:c>
      <x:c r="F73" s="8" t="str">
        <x:v>Full donor-recipient loop</x:v>
      </x:c>
      <x:c r="G73" s="8" t="str">
        <x:v>Run against the real backend in the browser. Record versions and screenshots.</x:v>
      </x:c>
      <x:c r="H73" s="8" t="str">
        <x:v>1. Donor posts. 2. Approved recipient browses and reserves. 3. Recipient collects. 4. Admin verifies counts.</x:v>
      </x:c>
      <x:c r="I73" s="8" t="str">
        <x:v>Same donation completes the full browser flow. IDs and statuses agree with API responses.</x:v>
      </x:c>
      <x:c r="J73" s="10" t="str">
        <x:v>Not Run</x:v>
      </x:c>
      <x:c r="K73" s="10" t="str"/>
      <x:c r="L73" s="10" t="str"/>
      <x:c r="M73" s="10" t="str"/>
      <x:c r="N73" s="10" t="str"/>
    </x:row>
    <x:row r="74" ht="98" customHeight="1">
      <x:c r="A74" s="9" t="str">
        <x:v>UI-066</x:v>
      </x:c>
      <x:c r="B74" s="9" t="str">
        <x:v>Shared UI and full flow</x:v>
      </x:c>
      <x:c r="C74" s="9" t="str">
        <x:v>All</x:v>
      </x:c>
      <x:c r="D74" s="9" t="str">
        <x:v>High</x:v>
      </x:c>
      <x:c r="E74" s="9" t="str">
        <x:v>Ree / Yeyun</x:v>
      </x:c>
      <x:c r="F74" s="9" t="str">
        <x:v>Full incident loop</x:v>
      </x:c>
      <x:c r="G74" s="9" t="str">
        <x:v>Run against the real backend in the browser. Record versions and screenshots.</x:v>
      </x:c>
      <x:c r="H74" s="9" t="str">
        <x:v>1. Recipient reports problem. 2. Admin marks under review. 3. Admin resolves with notes. 4. Recipient refreshes.</x:v>
      </x:c>
      <x:c r="I74" s="9" t="str">
        <x:v>Incident and resolution persist. Role views and dashboard show updated state.</x:v>
      </x:c>
      <x:c r="J74" s="10" t="str">
        <x:v>Not Run</x:v>
      </x:c>
      <x:c r="K74" s="10" t="str"/>
      <x:c r="L74" s="10" t="str"/>
      <x:c r="M74" s="10" t="str"/>
      <x:c r="N74" s="10" t="str"/>
    </x:row>
    <x:row r="75" ht="98" customHeight="1">
      <x:c r="A75" s="8" t="str">
        <x:v>UI-067</x:v>
      </x:c>
      <x:c r="B75" s="8" t="str">
        <x:v>Shared UI and full flow</x:v>
      </x:c>
      <x:c r="C75" s="8" t="str">
        <x:v>All</x:v>
      </x:c>
      <x:c r="D75" s="8" t="str">
        <x:v>Medium</x:v>
      </x:c>
      <x:c r="E75" s="8" t="str">
        <x:v>Ree / Yeyun</x:v>
      </x:c>
      <x:c r="F75" s="8" t="str">
        <x:v>Notifications if present</x:v>
      </x:c>
      <x:c r="G75" s="8" t="str">
        <x:v>Run against the real backend in the browser. Record versions and screenshots.</x:v>
      </x:c>
      <x:c r="H75" s="8" t="str">
        <x:v>1. Reserve, collect, flag, resolve and approve. 2. Inspect relevant bell counts. 3. Mark read.</x:v>
      </x:c>
      <x:c r="I75" s="8" t="str">
        <x:v>Built notification UI matches unread API. Cancellation/new-donation/expiry notifications are not implemented. If UI omitted, record N/A.</x:v>
      </x:c>
      <x:c r="J75" s="10" t="str">
        <x:v>Not Run</x:v>
      </x:c>
      <x:c r="K75" s="10" t="str"/>
      <x:c r="L75" s="10" t="str"/>
      <x:c r="M75" s="10" t="str"/>
      <x:c r="N75" s="10" t="str"/>
    </x:row>
    <x:row r="76" ht="98" customHeight="1">
      <x:c r="A76" s="9" t="str">
        <x:v>UI-068</x:v>
      </x:c>
      <x:c r="B76" s="9" t="str">
        <x:v>Shared UI and full flow</x:v>
      </x:c>
      <x:c r="C76" s="9" t="str">
        <x:v>All</x:v>
      </x:c>
      <x:c r="D76" s="9" t="str">
        <x:v>Medium</x:v>
      </x:c>
      <x:c r="E76" s="9" t="str">
        <x:v>Ree / Yeyun</x:v>
      </x:c>
      <x:c r="F76" s="9" t="str">
        <x:v>Narrow screen and keyboard</x:v>
      </x:c>
      <x:c r="G76" s="9" t="str">
        <x:v>Run against the real backend in the browser. Record versions and screenshots.</x:v>
      </x:c>
      <x:c r="H76" s="9" t="str">
        <x:v>1. Test narrow browser width. 2. Tab through forms. 3. Submit using keyboard.</x:v>
      </x:c>
      <x:c r="I76" s="9" t="str">
        <x:v>Required controls remain usable. Labels, focus and errors are readable.</x:v>
      </x:c>
      <x:c r="J76" s="10" t="str">
        <x:v>Not Run</x:v>
      </x:c>
      <x:c r="K76" s="10" t="str"/>
      <x:c r="L76" s="10" t="str"/>
      <x:c r="M76" s="10" t="str"/>
      <x:c r="N76" s="10" t="str"/>
    </x:row>
  </x:sheetData>
  <x:conditionalFormatting sqref="J9:J76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dataValidations count="1">
    <x:dataValidation type="list" sqref="J9:J76">
      <x:formula1>"Not Run,Pass,Fail,Blocked,N/A"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8" hidden="0" customWidth="1"/>
  </x:cols>
  <x:sheetData>
    <x:row r="2">
      <x:c r="A2" s="2" t="str">
        <x:v>Execution guide</x:v>
      </x:c>
      <x:c r="B2" s="1"/>
    </x:row>
    <x:row r="3">
      <x:c r="A3" s="1"/>
      <x:c r="B3" s="1"/>
    </x:row>
    <x:row r="4">
      <x:c r="A4" s="5" t="str">
        <x:v>Topic</x:v>
      </x:c>
      <x:c r="B4" s="5" t="str">
        <x:v>Instructions / source</x:v>
      </x:c>
    </x:row>
    <x:row r="5" ht="52" customHeight="1">
      <x:c r="A5" s="7" t="str">
        <x:v>Scope</x:v>
      </x:c>
      <x:c r="B5" s="7" t="str">
        <x:v>Day 6 task: UI cases for login, register, post donation, browse, reserve, My reservations, report a problem and admin screens.</x:v>
      </x:c>
    </x:row>
    <x:row r="6" ht="52" customHeight="1">
      <x:c r="A6" s="7" t="str">
        <x:v>How to run</x:v>
      </x:c>
      <x:c r="B6" s="7" t="str">
        <x:v>Use the real backend and the current frontend. Execute each numbered case. Fill Status, Actual result, Evidence, Defect ID and build/date.</x:v>
      </x:c>
    </x:row>
    <x:row r="7" ht="52" customHeight="1">
      <x:c r="A7" s="7" t="str">
        <x:v>Test status</x:v>
      </x:c>
      <x:c r="B7" s="7" t="str">
        <x:v>Not Run: not executed. Pass: expected result observed with evidence. Fail: mismatch. Blocked: prerequisite or screen missing. N/A: removed optional feature, with reason.</x:v>
      </x:c>
    </x:row>
    <x:row r="8" ht="52" customHeight="1">
      <x:c r="A8" s="7" t="str">
        <x:v>Environment record</x:v>
      </x:c>
      <x:c r="B8" s="7" t="str">
        <x:v>Record browser/version, frontend branch and commit, backend branch and commit, run date and API base URL in Actual result for the first executed case or evidence log.</x:v>
      </x:c>
    </x:row>
    <x:row r="9" ht="52" customHeight="1">
      <x:c r="A9" s="7" t="str">
        <x:v>Setup</x:v>
      </x:c>
      <x:c r="B9" s="7" t="str">
        <x:v>Start backend from pom.xml folder. Run seed-demo-data.ps1 where available. Create donor A/B, approved recipient A/B, pending recipient and admin. Record actual IDs rather than assuming ID 1.</x:v>
      </x:c>
    </x:row>
    <x:row r="10" ht="52" customHeight="1">
      <x:c r="A10" s="7" t="str">
        <x:v>Database</x:v>
      </x:c>
      <x:c r="B10" s="7" t="str">
        <x:v>H2 data resets on backend restart. Recreate data and recapture IDs. Use fresh donations for destructive collect/cancel cases.</x:v>
      </x:c>
    </x:row>
    <x:row r="11" ht="52" customHeight="1">
      <x:c r="A11" s="7" t="str">
        <x:v>Dates</x:v>
      </x:c>
      <x:c r="B11" s="7" t="str">
        <x:v>Use future collection deadlines and pickup times. Compare Adelaide local time with ISO-8601 instants. Do not reuse expired hard-coded dates.</x:v>
      </x:c>
    </x:row>
    <x:row r="12" ht="52" customHeight="1">
      <x:c r="A12" s="7" t="str">
        <x:v>UI evidence</x:v>
      </x:c>
      <x:c r="B12" s="7" t="str">
        <x:v>Save screenshot and relevant request/response under docs/test-evidence. Example: docs/test-evidence/ui/2026-10-12/UI-001.png. Use unique run folders.</x:v>
      </x:c>
    </x:row>
    <x:row r="13" ht="52" customHeight="1">
      <x:c r="A13" s="7" t="str">
        <x:v>Failures</x:v>
      </x:c>
      <x:c r="B13" s="7" t="str">
        <x:v>Create defect ID, severity, reproduction steps, expected vs actual, owner and status in the existing defect log. Attach screenshot plus request/response. Retest against the fixed build.</x:v>
      </x:c>
    </x:row>
    <x:row r="14" ht="52" customHeight="1">
      <x:c r="A14" s="7" t="str">
        <x:v>Owners</x:v>
      </x:c>
      <x:c r="B14" s="7" t="str">
        <x:v>Ree: login, registration and recipient screens. Yeyun: donor/admin screens. Anil: backend errors. Chenlu: unclear incident permissions and acceptance criteria. Haoxuan: execution/evidence.</x:v>
      </x:c>
    </x:row>
    <x:row r="15" ht="52" customHeight="1">
      <x:c r="A15" s="7" t="str">
        <x:v>Authentication limit</x:v>
      </x:c>
      <x:c r="B15" s="7" t="str">
        <x:v>Frontend role guards must be tested. Backend currently returns no token and endpoints are open. UI route protection does not establish backend security.</x:v>
      </x:c>
    </x:row>
    <x:row r="16" ht="52" customHeight="1">
      <x:c r="A16" s="7" t="str">
        <x:v>Incident permission limit</x:v>
      </x:c>
      <x:c r="B16" s="7" t="str">
        <x:v>Backend permits pending recipients and reports on uncollected donations. Treat permission policy as an open question for Chenlu/Anil. Do not mark unconfirmed rules as passed.</x:v>
      </x:c>
    </x:row>
    <x:row r="17" ht="52" customHeight="1">
      <x:c r="A17" s="7" t="str">
        <x:v>Client incident fields</x:v>
      </x:c>
      <x:c r="B17" s="7" t="str">
        <x:v>Current client response requests report time, donation reference/donor/item, description, severity, reporter role/name/org and optional notes. Client screenshot is partial: do not infer unseen answers.</x:v>
      </x:c>
    </x:row>
    <x:row r="18" ht="52" customHeight="1">
      <x:c r="A18" s="7" t="str">
        <x:v>Optional features</x:v>
      </x:c>
      <x:c r="B18" s="7" t="str">
        <x:v>Category filter, donor cards, period report and notification UI may be cut. Record N/A with an agreed reason rather than Pass. Keep core flows and recipient approvals.</x:v>
      </x:c>
    </x:row>
    <x:row r="19" ht="52" customHeight="1">
      <x:c r="A19" s="7" t="str">
        <x:v>Category enums</x:v>
      </x:c>
      <x:c r="B19" s="7" t="str">
        <x:v>FRESH_PRODUCE, BAKERY, DAIRY, MEAT_AND_SEAFOOD, PANTRY_AND_DRY_GOODS, PREPARED_MEALS, BEVERAGES, OTHER.</x:v>
      </x:c>
    </x:row>
    <x:row r="20" ht="52" customHeight="1">
      <x:c r="A20" s="7" t="str">
        <x:v>Severity / status</x:v>
      </x:c>
      <x:c r="B20" s="7" t="str">
        <x:v>Severity: MINOR, MODERATE, SEVERE. Incident status: OPEN, UNDER_REVIEW, RESOLVED.</x:v>
      </x:c>
    </x:row>
    <x:row r="21" ht="52" customHeight="1">
      <x:c r="A21" s="7" t="str">
        <x:v>Submit location</x:v>
      </x:c>
      <x:c r="B21" s="7" t="str">
        <x:v>Use the existing backend branch. Save this workbook under docs. No new branch or PR for this upload.</x:v>
      </x:c>
    </x:row>
    <x:row r="22" ht="52" customHeight="1">
      <x:c r="A22" s="7" t="str">
        <x:v>Source 1</x:v>
      </x:c>
      <x:c r="B22" s="7" t="str">
        <x:v>10_Day_Team_Plan(1).pdf, Haoxuan task table, page 3, 12 October row. Later team instruction overrides its original branch/PR rule.</x:v>
      </x:c>
    </x:row>
    <x:row r="23" ht="52" customHeight="1">
      <x:c r="A23" s="7" t="str">
        <x:v>Source 2</x:v>
      </x:c>
      <x:c r="B23" s="7" t="str">
        <x:v>API_DOCUMENTATION.md and API_Testing_Handoff.md supplied 9 October 2026. Recheck endpoint changes against the current build before execution.</x:v>
      </x:c>
    </x:row>
    <x:row r="24" ht="52" customHeight="1">
      <x:c r="A24" s="7" t="str">
        <x:v>Source 3</x:v>
      </x:c>
      <x:c r="B24" s="7" t="str">
        <x:v>IMG_5695.png, host incident-record response. Visible first-question fields only.</x:v>
      </x:c>
    </x:row>
    <x:row r="25" ht="52" customHeight="1">
      <x:c r="A25" s="7" t="str">
        <x:v>Preparation limit</x:v>
      </x:c>
      <x:c r="B25" s="7" t="str">
        <x:v>Frontend screens were not inspected or executed during plan authoring. Cases specify planned acceptance checks, not observed test results.</x:v>
      </x:c>
    </x:row>
  </x:sheetData>
  <x:pageMargins left="0.7" right="0.7" top="0.75" bottom="0.75" header="0.3" footer="0.3"/>
</x:worksheet>
</file>